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034838944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f75f29db42443b"/>
    <x:sheet xmlns:r="http://schemas.openxmlformats.org/officeDocument/2006/relationships" name="Feature Stories" sheetId="2" r:id="R36724c228368442b"/>
    <x:sheet xmlns:r="http://schemas.openxmlformats.org/officeDocument/2006/relationships" name="Testing Log" sheetId="3" r:id="R5c8220a5e790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2A211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5D50"/>
      </x:patternFill>
    </x:fill>
    <x:fill>
      <x:patternFill patternType="solid">
        <x:fgColor rgb="FF7A4D2F"/>
      </x:patternFill>
    </x:fill>
    <x:fill>
      <x:patternFill patternType="solid">
        <x:fgColor rgb="FFF3EFE7"/>
      </x:patternFill>
    </x:fill>
    <x:fill>
      <x:patternFill patternType="solid">
        <x:fgColor rgb="FFE8DDC9"/>
      </x:patternFill>
    </x:fill>
  </x:fills>
  <x:borders count="5">
    <x:border/>
    <x:border>
      <x:top style="thin">
        <x:color rgb="FFC7BDAE"/>
      </x:top>
      <x:bottom style="thin">
        <x:color rgb="FFE6E1D8"/>
      </x:bottom>
    </x:border>
    <x:border>
      <x:top style="thin">
        <x:color rgb="FFE6E1D8"/>
      </x:top>
      <x:bottom style="thin">
        <x:color rgb="FFE6E1D8"/>
      </x:bottom>
    </x:border>
    <x:border>
      <x:top style="thin">
        <x:color rgb="FFE6E1D8"/>
      </x:top>
      <x:bottom style="thin">
        <x:color rgb="FFC7BDAE"/>
      </x:bottom>
    </x:border>
    <x:border>
      <x:left style="thin">
        <x:color rgb="FFD7D0C4"/>
      </x:left>
      <x:right style="thin">
        <x:color rgb="FFD7D0C4"/>
      </x:right>
      <x:top style="thin">
        <x:color rgb="FFD7D0C4"/>
      </x:top>
      <x:bottom style="thin">
        <x:color rgb="FFD7D0C4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0" fillId="0" borderId="4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4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7e523dd5754f35" /><Relationship Type="http://schemas.openxmlformats.org/officeDocument/2006/relationships/theme" Target="/xl/theme/theme1.xml" Id="R2b6581bb6b0f4a56" /><Relationship Type="http://schemas.openxmlformats.org/officeDocument/2006/relationships/sharedStrings" Target="/xl/sharedStrings.xml" Id="Ra79833879c1a42ca" /><Relationship Type="http://schemas.openxmlformats.org/officeDocument/2006/relationships/worksheet" Target="/xl/worksheets/sheet1.xml" Id="R59f75f29db42443b" /><Relationship Type="http://schemas.openxmlformats.org/officeDocument/2006/relationships/worksheet" Target="/xl/worksheets/sheet2.xml" Id="R36724c228368442b" /><Relationship Type="http://schemas.openxmlformats.org/officeDocument/2006/relationships/worksheet" Target="/xl/worksheets/sheet3.xml" Id="R5c8220a5e79049e3" /></Relationships>
</file>

<file path=xl/tables/table1.xml><?xml version="1.0" encoding="utf-8"?>
<x:table xmlns:x="http://schemas.openxmlformats.org/spreadsheetml/2006/main" id="1" name="FeatureStories" displayName="FeatureStories" ref="A1:N63" headerRowCount="1">
  <x:tableColumns count="14">
    <x:tableColumn id="1" name="ID"/>
    <x:tableColumn id="2" name="Area"/>
    <x:tableColumn id="3" name="Feature"/>
    <x:tableColumn id="4" name="User Story"/>
    <x:tableColumn id="5" name="Expected Behavior"/>
    <x:tableColumn id="6" name="Source Of Truth"/>
    <x:tableColumn id="7" name="Critical Edge Cases"/>
    <x:tableColumn id="8" name="Verification Coverage"/>
    <x:tableColumn id="9" name="Current Status"/>
    <x:tableColumn id="10" name="Test Pass Status"/>
    <x:tableColumn id="11" name="Errors Found"/>
    <x:tableColumn id="12" name="Fix Status"/>
    <x:tableColumn id="13" name="Retest Status"/>
    <x:tableColumn id="14" name="Last Updated"/>
  </x:tableColumns>
  <x:tableStyleInfo name="TableStyleMedium2" showRowStripes="1"/>
</x:table>
</file>

<file path=xl/tables/table2.xml><?xml version="1.0" encoding="utf-8"?>
<x:table xmlns:x="http://schemas.openxmlformats.org/spreadsheetml/2006/main" id="2" name="TestingLog" displayName="TestingLog" ref="A1:G11" headerRowCount="1">
  <x:tableColumns count="7">
    <x:tableColumn id="1" name="ID"/>
    <x:tableColumn id="2" name="Pass"/>
    <x:tableColumn id="3" name="Command Or Scenario"/>
    <x:tableColumn id="4" name="Status"/>
    <x:tableColumn id="5" name="Errors Found"/>
    <x:tableColumn id="6" name="Evidence / Notes"/>
    <x:tableColumn id="7" name="Last Upda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f049c62ce04b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721233137340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11" t="str">
        <x:v>Boardsmith Feature User Story Ledger</x:v>
      </x:c>
      <x:c r="B1" s="11" t="str">
        <x:v>Boardsmith Feature User Story Ledger</x:v>
      </x:c>
      <x:c r="C1" s="11" t="str">
        <x:v>Boardsmith Feature User Story Ledger</x:v>
      </x:c>
      <x:c r="D1" s="11" t="str">
        <x:v>Boardsmith Feature User Story Ledger</x:v>
      </x:c>
      <x:c r="E1" s="11" t="str">
        <x:v>Boardsmith Feature User Story Ledger</x:v>
      </x:c>
      <x:c r="F1" s="11" t="str">
        <x:v>Boardsmith Feature User Story Ledger</x:v>
      </x:c>
    </x:row>
    <x:row r="3">
      <x:c r="A3" s="18" t="str">
        <x:v>Generated</x:v>
      </x:c>
      <x:c r="B3" s="19" t="str">
        <x:v>2026-06-24</x:v>
      </x:c>
      <x:c r="C3" s="20"/>
      <x:c r="D3" s="20"/>
      <x:c r="E3" s="20"/>
      <x:c r="F3" s="20"/>
    </x:row>
    <x:row r="4">
      <x:c r="A4" s="18" t="str">
        <x:v>Canonical tracker</x:v>
      </x:c>
      <x:c r="B4" s="19" t="str">
        <x:v>C:/dev/boardsmith/docs/qa/boardsmith-feature-user-story-ledger.xlsx</x:v>
      </x:c>
      <x:c r="C4" s="20"/>
      <x:c r="D4" s="20"/>
      <x:c r="E4" s="20"/>
      <x:c r="F4" s="20"/>
    </x:row>
    <x:row r="5">
      <x:c r="A5" s="18" t="str">
        <x:v>Total stories</x:v>
      </x:c>
      <x:c r="B5" s="19" t="n">
        <x:v>62</x:v>
      </x:c>
      <x:c r="C5" s="20"/>
      <x:c r="D5" s="20"/>
      <x:c r="E5" s="20"/>
      <x:c r="F5" s="20"/>
    </x:row>
    <x:row r="6">
      <x:c r="A6" s="18" t="str">
        <x:v>Pending test stories</x:v>
      </x:c>
      <x:c r="B6" s="19" t="n">
        <x:f>COUNTIF('Feature Stories'!J2:J63,"Pending")</x:f>
        <x:v>0</x:v>
      </x:c>
      <x:c r="C6" s="20"/>
      <x:c r="D6" s="20"/>
      <x:c r="E6" s="20"/>
      <x:c r="F6" s="20"/>
    </x:row>
    <x:row r="7">
      <x:c r="A7" s="18" t="str">
        <x:v>Failed test stories</x:v>
      </x:c>
      <x:c r="B7" s="19" t="n">
        <x:f>COUNTIF('Feature Stories'!J2:J63,"Fail")</x:f>
        <x:v>0</x:v>
      </x:c>
      <x:c r="C7" s="20"/>
      <x:c r="D7" s="20"/>
      <x:c r="E7" s="20"/>
      <x:c r="F7" s="20"/>
    </x:row>
    <x:row r="8">
      <x:c r="A8" s="18" t="str">
        <x:v>Fixed stories</x:v>
      </x:c>
      <x:c r="B8" s="19" t="n">
        <x:f>COUNTIF('Feature Stories'!L2:L63,"Fixed")</x:f>
        <x:v>0</x:v>
      </x:c>
      <x:c r="C8" s="20"/>
      <x:c r="D8" s="20"/>
      <x:c r="E8" s="20"/>
      <x:c r="F8" s="20"/>
    </x:row>
    <x:row r="9">
      <x:c r="A9" s="18" t="str">
        <x:v>Retest pass stories</x:v>
      </x:c>
      <x:c r="B9" s="19" t="n">
        <x:f>COUNTIF('Feature Stories'!M2:M63,"Pass")</x:f>
        <x:v>62</x:v>
      </x:c>
      <x:c r="C9" s="20"/>
      <x:c r="D9" s="20"/>
      <x:c r="E9" s="20"/>
      <x:c r="F9" s="20"/>
    </x:row>
    <x:row r="10">
      <x:c r="A10" s="18" t="str">
        <x:v>Known errors</x:v>
      </x:c>
      <x:c r="B10" s="19" t="n">
        <x:f>COUNTIF('Feature Stories'!K2:K63,"&lt;&gt;")</x:f>
        <x:v>62</x:v>
      </x:c>
      <x:c r="C10" s="20"/>
      <x:c r="D10" s="20"/>
      <x:c r="E10" s="20"/>
      <x:c r="F10" s="20"/>
    </x:row>
    <x:row r="11">
      <x:c r="A11" s="20"/>
      <x:c r="B11" s="20"/>
      <x:c r="C11" s="20"/>
      <x:c r="D11" s="20"/>
      <x:c r="E11" s="20"/>
      <x:c r="F11" s="20"/>
    </x:row>
    <x:row r="12">
      <x:c r="A12" s="21" t="str">
        <x:v>Workflow</x:v>
      </x:c>
      <x:c r="B12" s="21" t="str">
        <x:v>Workflow</x:v>
      </x:c>
      <x:c r="C12" s="21" t="str">
        <x:v>Workflow</x:v>
      </x:c>
      <x:c r="D12" s="21" t="str">
        <x:v>Workflow</x:v>
      </x:c>
      <x:c r="E12" s="21" t="str">
        <x:v>Workflow</x:v>
      </x:c>
      <x:c r="F12" s="21" t="str">
        <x:v>Workflow</x:v>
      </x:c>
    </x:row>
    <x:row r="13">
      <x:c r="A13" s="4" t="str">
        <x:v>1</x:v>
      </x:c>
      <x:c r="B13" s="4" t="str">
        <x:v>Inventory every feature from code/docs/tests.</x:v>
      </x:c>
      <x:c r="C13" s="4" t="str"/>
      <x:c r="D13" s="4" t="str"/>
      <x:c r="E13" s="4" t="str"/>
      <x:c r="F13" s="4" t="str"/>
    </x:row>
    <x:row r="14">
      <x:c r="A14" s="4" t="str">
        <x:v>2</x:v>
      </x:c>
      <x:c r="B14" s="4" t="str">
        <x:v>Run automated verification and exploratory browser QA.</x:v>
      </x:c>
      <x:c r="C14" s="4" t="str"/>
      <x:c r="D14" s="4" t="str"/>
      <x:c r="E14" s="4" t="str"/>
      <x:c r="F14" s="4" t="str"/>
    </x:row>
    <x:row r="15">
      <x:c r="A15" s="4" t="str">
        <x:v>3</x:v>
      </x:c>
      <x:c r="B15" s="4" t="str">
        <x:v>Document every error in Feature Stories and Testing Log.</x:v>
      </x:c>
      <x:c r="C15" s="4" t="str"/>
      <x:c r="D15" s="4" t="str"/>
      <x:c r="E15" s="4" t="str"/>
      <x:c r="F15" s="4" t="str"/>
    </x:row>
    <x:row r="16">
      <x:c r="A16" s="4" t="str">
        <x:v>4</x:v>
      </x:c>
      <x:c r="B16" s="4" t="str">
        <x:v>Fix logistical or UX errors with narrow changes.</x:v>
      </x:c>
      <x:c r="C16" s="4" t="str"/>
      <x:c r="D16" s="4" t="str"/>
      <x:c r="E16" s="4" t="str"/>
      <x:c r="F16" s="4" t="str"/>
    </x:row>
    <x:row r="17">
      <x:c r="A17" s="4" t="str">
        <x:v>5</x:v>
      </x:c>
      <x:c r="B17" s="4" t="str">
        <x:v>Retest changed and affected user behaviors post-fix.</x:v>
      </x:c>
      <x:c r="C17" s="4" t="str"/>
      <x:c r="D17" s="4" t="str"/>
      <x:c r="E17" s="4" t="str"/>
      <x:c r="F17" s="4" t="str"/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44" hidden="0" customWidth="1"/>
    <x:col min="5" max="5" width="58" hidden="0" customWidth="1"/>
    <x:col min="6" max="6" width="36" hidden="0" customWidth="1"/>
    <x:col min="7" max="7" width="36" hidden="0" customWidth="1"/>
    <x:col min="8" max="8" width="3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</x:cols>
  <x:sheetData>
    <x:row r="1">
      <x:c r="A1" s="5" t="str">
        <x:v>ID</x:v>
      </x:c>
      <x:c r="B1" s="5" t="str">
        <x:v>Area</x:v>
      </x:c>
      <x:c r="C1" s="5" t="str">
        <x:v>Feature</x:v>
      </x:c>
      <x:c r="D1" s="5" t="str">
        <x:v>User Story</x:v>
      </x:c>
      <x:c r="E1" s="5" t="str">
        <x:v>Expected Behavior</x:v>
      </x:c>
      <x:c r="F1" s="5" t="str">
        <x:v>Source Of Truth</x:v>
      </x:c>
      <x:c r="G1" s="5" t="str">
        <x:v>Critical Edge Cases</x:v>
      </x:c>
      <x:c r="H1" s="5" t="str">
        <x:v>Verification Coverage</x:v>
      </x:c>
      <x:c r="I1" s="5" t="str">
        <x:v>Current Status</x:v>
      </x:c>
      <x:c r="J1" s="5" t="str">
        <x:v>Test Pass Status</x:v>
      </x:c>
      <x:c r="K1" s="5" t="str">
        <x:v>Errors Found</x:v>
      </x:c>
      <x:c r="L1" s="5" t="str">
        <x:v>Fix Status</x:v>
      </x:c>
      <x:c r="M1" s="5" t="str">
        <x:v>Retest Status</x:v>
      </x:c>
      <x:c r="N1" s="5" t="str">
        <x:v>Last Updated</x:v>
      </x:c>
    </x:row>
    <x:row r="2">
      <x:c r="A2" s="6" t="str">
        <x:v>BS-US-001</x:v>
      </x:c>
      <x:c r="B2" s="6" t="str">
        <x:v>Access</x:v>
      </x:c>
      <x:c r="C2" s="6" t="str">
        <x:v>Private access gate</x:v>
      </x:c>
      <x:c r="D2" s="6" t="str">
        <x:v>As a private MVP user, I can enter the configured access password and return to the page I asked for.</x:v>
      </x:c>
      <x:c r="E2" s="6" t="str">
        <x:v>When BOARDSMITH_ACCESS_PASSWORD is set, protected routes redirect to /access; a correct password sets an HTTP-only cookie and redirects to sanitized returnTo; wrong passwords do not set access.</x:v>
      </x:c>
      <x:c r="F2" s="6" t="str">
        <x:v>app/access/page.tsx; app/access/verify/route.ts; lib/access/private-access.ts</x:v>
      </x:c>
      <x:c r="G2" s="6" t="str">
        <x:v>Wrong password, missing returnTo, unsafe returnTo, public access paths.</x:v>
      </x:c>
      <x:c r="H2" s="6" t="str">
        <x:v>access-page.test.ts; access-verify-route.test.ts; private-access-gate.test.ts; private-access-proxy.test.ts</x:v>
      </x:c>
      <x:c r="I2" s="6" t="str">
        <x:v>Ready</x:v>
      </x:c>
      <x:c r="J2" s="6" t="str">
        <x:v>Pass</x:v>
      </x:c>
      <x:c r="K2" s="6" t="str"/>
      <x:c r="L2" s="6" t="str">
        <x:v>No fix needed</x:v>
      </x:c>
      <x:c r="M2" s="6" t="str">
        <x:v>Pass</x:v>
      </x:c>
      <x:c r="N2" s="6" t="str">
        <x:v>2026-06-24</x:v>
      </x:c>
    </x:row>
    <x:row r="3">
      <x:c r="A3" s="6" t="str">
        <x:v>BS-US-002</x:v>
      </x:c>
      <x:c r="B3" s="6" t="str">
        <x:v>Navigation</x:v>
      </x:c>
      <x:c r="C3" s="6" t="str">
        <x:v>Application shell navigation</x:v>
      </x:c>
      <x:c r="D3" s="6" t="str">
        <x:v>As a user, I can move between Dashboard, My Projects, New Project, and Settings from the app shell.</x:v>
      </x:c>
      <x:c r="E3" s="6" t="str">
        <x:v>Root layout exposes stable links and preserves private workspace framing without public sharing/export claims.</x:v>
      </x:c>
      <x:c r="F3" s="6" t="str">
        <x:v>app/layout.tsx</x:v>
      </x:c>
      <x:c r="G3" s="6" t="str">
        <x:v>Route availability, active context, no public product terminology.</x:v>
      </x:c>
      <x:c r="H3" s="6" t="str">
        <x:v>dashboard-page.test.ts; settings-page.test.ts; e2e/smoke.spec.ts</x:v>
      </x:c>
      <x:c r="I3" s="6" t="str">
        <x:v>Ready</x:v>
      </x:c>
      <x:c r="J3" s="6" t="str">
        <x:v>Pass</x:v>
      </x:c>
      <x:c r="K3" s="6" t="str"/>
      <x:c r="L3" s="6" t="str">
        <x:v>No fix needed</x:v>
      </x:c>
      <x:c r="M3" s="6" t="str">
        <x:v>Pass</x:v>
      </x:c>
      <x:c r="N3" s="6" t="str">
        <x:v>2026-06-24</x:v>
      </x:c>
    </x:row>
    <x:row r="4">
      <x:c r="A4" s="6" t="str">
        <x:v>BS-US-003</x:v>
      </x:c>
      <x:c r="B4" s="6" t="str">
        <x:v>Settings</x:v>
      </x:c>
      <x:c r="C4" s="6" t="str">
        <x:v>Private MVP settings posture</x:v>
      </x:c>
      <x:c r="D4" s="6" t="str">
        <x:v>As an owner, I can see whether OpenAI and storage are configured and what capabilities are intentionally deferred.</x:v>
      </x:c>
      <x:c r="E4" s="6" t="str">
        <x:v>Settings reports OpenAI configured/missing, Supabase/local JSON storage, private access posture, planning-aid boundary, no sharing/export/auth promises.</x:v>
      </x:c>
      <x:c r="F4" s="6" t="str">
        <x:v>app/settings/page.tsx</x:v>
      </x:c>
      <x:c r="G4" s="6" t="str">
        <x:v>Missing env vars, Supabase mode, deferred features copy.</x:v>
      </x:c>
      <x:c r="H4" s="6" t="str">
        <x:v>settings-page.test.ts; supabase-config.test.ts</x:v>
      </x:c>
      <x:c r="I4" s="6" t="str">
        <x:v>Ready</x:v>
      </x:c>
      <x:c r="J4" s="6" t="str">
        <x:v>Pass</x:v>
      </x:c>
      <x:c r="K4" s="6" t="str"/>
      <x:c r="L4" s="6" t="str">
        <x:v>No fix needed</x:v>
      </x:c>
      <x:c r="M4" s="6" t="str">
        <x:v>Pass</x:v>
      </x:c>
      <x:c r="N4" s="6" t="str">
        <x:v>2026-06-24</x:v>
      </x:c>
    </x:row>
    <x:row r="5">
      <x:c r="A5" s="6" t="str">
        <x:v>BS-US-004</x:v>
      </x:c>
      <x:c r="B5" s="6" t="str">
        <x:v>Dashboard</x:v>
      </x:c>
      <x:c r="C5" s="6" t="str">
        <x:v>Workspace overview</x:v>
      </x:c>
      <x:c r="D5" s="6" t="str">
        <x:v>As an owner, I can see project counts, recent projects, latest update, and next actions from the dashboard.</x:v>
      </x:c>
      <x:c r="E5" s="6" t="str">
        <x:v>Dashboard sorts recent projects by update, shows empty state when none exist, and never introduces public sharing or export language.</x:v>
      </x:c>
      <x:c r="F5" s="6" t="str">
        <x:v>app/page.tsx</x:v>
      </x:c>
      <x:c r="G5" s="6" t="str">
        <x:v>No projects, failed generation, archived hidden from active summaries, built projects.</x:v>
      </x:c>
      <x:c r="H5" s="6" t="str">
        <x:v>dashboard-page.test.ts</x:v>
      </x:c>
      <x:c r="I5" s="6" t="str">
        <x:v>Ready</x:v>
      </x:c>
      <x:c r="J5" s="6" t="str">
        <x:v>Pass</x:v>
      </x:c>
      <x:c r="K5" s="6" t="str"/>
      <x:c r="L5" s="6" t="str">
        <x:v>No fix needed</x:v>
      </x:c>
      <x:c r="M5" s="6" t="str">
        <x:v>Pass</x:v>
      </x:c>
      <x:c r="N5" s="6" t="str">
        <x:v>2026-06-24</x:v>
      </x:c>
    </x:row>
    <x:row r="6">
      <x:c r="A6" s="6" t="str">
        <x:v>BS-US-005</x:v>
      </x:c>
      <x:c r="B6" s="6" t="str">
        <x:v>Dashboard</x:v>
      </x:c>
      <x:c r="C6" s="6" t="str">
        <x:v>Idea draft entry point</x:v>
      </x:c>
      <x:c r="D6" s="6" t="str">
        <x:v>As a user with a rough idea, I can draft setup fields from the dashboard without saving a project yet.</x:v>
      </x:c>
      <x:c r="E6" s="6" t="str">
        <x:v>Dashboard posts idea_text to /projects/draft; short ideas redirect to invalid_idea; successful drafts return to /projects/new?draft=idea with a short-lived cookie.</x:v>
      </x:c>
      <x:c r="F6" s="6" t="str">
        <x:v>app/page.tsx; app/projects/draft/route.ts; lib/projects/natural-language-intake.ts</x:v>
      </x:c>
      <x:c r="G6" s="6" t="str">
        <x:v>Short idea, safety-blocked idea, unsupported idea, cookie draft preservation.</x:v>
      </x:c>
      <x:c r="H6" s="6" t="str">
        <x:v>natural-language-intake.test.ts; project-form-routes.test.ts</x:v>
      </x:c>
      <x:c r="I6" s="6" t="str">
        <x:v>Ready</x:v>
      </x:c>
      <x:c r="J6" s="6" t="str">
        <x:v>Pass</x:v>
      </x:c>
      <x:c r="K6" s="6" t="str"/>
      <x:c r="L6" s="6" t="str">
        <x:v>No fix needed</x:v>
      </x:c>
      <x:c r="M6" s="6" t="str">
        <x:v>Pass</x:v>
      </x:c>
      <x:c r="N6" s="6" t="str">
        <x:v>2026-06-24</x:v>
      </x:c>
    </x:row>
    <x:row r="7">
      <x:c r="A7" s="6" t="str">
        <x:v>BS-US-006</x:v>
      </x:c>
      <x:c r="B7" s="6" t="str">
        <x:v>Dashboard</x:v>
      </x:c>
      <x:c r="C7" s="6" t="str">
        <x:v>Starter shortcuts</x:v>
      </x:c>
      <x:c r="D7" s="6" t="str">
        <x:v>As a new user, I can start from curated beginner examples.</x:v>
      </x:c>
      <x:c r="E7" s="6" t="str">
        <x:v>Dashboard starter links open /projects/new?example=... and the new-project page pre-fills editable starter fields when the slug is known.</x:v>
      </x:c>
      <x:c r="F7" s="6" t="str">
        <x:v>app/page.tsx; app/projects/new/page.tsx; lib/projects/intake-examples.ts</x:v>
      </x:c>
      <x:c r="G7" s="6" t="str">
        <x:v>Unknown example, editable starters, no auto-save.</x:v>
      </x:c>
      <x:c r="H7" s="6" t="str">
        <x:v>dashboard-page.test.ts; project-form-routes.test.ts</x:v>
      </x:c>
      <x:c r="I7" s="6" t="str">
        <x:v>Ready</x:v>
      </x:c>
      <x:c r="J7" s="6" t="str">
        <x:v>Pass</x:v>
      </x:c>
      <x:c r="K7" s="6" t="str"/>
      <x:c r="L7" s="6" t="str">
        <x:v>No fix needed</x:v>
      </x:c>
      <x:c r="M7" s="6" t="str">
        <x:v>Pass</x:v>
      </x:c>
      <x:c r="N7" s="6" t="str">
        <x:v>2026-06-24</x:v>
      </x:c>
    </x:row>
    <x:row r="8">
      <x:c r="A8" s="6" t="str">
        <x:v>BS-US-007</x:v>
      </x:c>
      <x:c r="B8" s="6" t="str">
        <x:v>Project Intake</x:v>
      </x:c>
      <x:c r="C8" s="6" t="str">
        <x:v>New project form sections</x:v>
      </x:c>
      <x:c r="D8" s="6" t="str">
        <x:v>As a user, I can enter project type, skill, size, material, mounting context, tools, and notes before any plan is generated.</x:v>
      </x:c>
      <x:c r="E8" s="6" t="str">
        <x:v>The form posts structured fields to /projects/create and uses schema validation for required title, type, skill, dimensions, thickness, material, tools, and intended use.</x:v>
      </x:c>
      <x:c r="F8" s="6" t="str">
        <x:v>app/projects/new/page.tsx; lib/projects/types.ts</x:v>
      </x:c>
      <x:c r="G8" s="6" t="str">
        <x:v>Missing fields, invalid numbers, no tools, simple shelf height defaulting to material thickness.</x:v>
      </x:c>
      <x:c r="H8" s="6" t="str">
        <x:v>project-form-routes.test.ts; project-store.test.ts</x:v>
      </x:c>
      <x:c r="I8" s="6" t="str">
        <x:v>Ready</x:v>
      </x:c>
      <x:c r="J8" s="6" t="str">
        <x:v>Pass</x:v>
      </x:c>
      <x:c r="K8" s="6" t="str"/>
      <x:c r="L8" s="6" t="str">
        <x:v>No fix needed</x:v>
      </x:c>
      <x:c r="M8" s="6" t="str">
        <x:v>Pass</x:v>
      </x:c>
      <x:c r="N8" s="6" t="str">
        <x:v>2026-06-24</x:v>
      </x:c>
    </x:row>
    <x:row r="9">
      <x:c r="A9" s="6" t="str">
        <x:v>BS-US-008</x:v>
      </x:c>
      <x:c r="B9" s="6" t="str">
        <x:v>Project Intake</x:v>
      </x:c>
      <x:c r="C9" s="6" t="str">
        <x:v>Natural-language supported draft</x:v>
      </x:c>
      <x:c r="D9" s="6" t="str">
        <x:v>As a user, I can paste a clear supported shelf idea and review conservative generated setup fields before saving.</x:v>
      </x:c>
      <x:c r="E9" s="6" t="str">
        <x:v>Supported drafts prefill form fields, show review metadata, keep structured fields editable, and do not save or generate a plan until submit.</x:v>
      </x:c>
      <x:c r="F9" s="6" t="str">
        <x:v>app/projects/draft/route.ts; app/projects/new/page.tsx; lib/projects/natural-language-intake.ts</x:v>
      </x:c>
      <x:c r="G9" s="6" t="str">
        <x:v>Store-cut preference, support count, heavy-load notes, missing-field hints.</x:v>
      </x:c>
      <x:c r="H9" s="6" t="str">
        <x:v>natural-language-intake.test.ts</x:v>
      </x:c>
      <x:c r="I9" s="6" t="str">
        <x:v>Ready</x:v>
      </x:c>
      <x:c r="J9" s="6" t="str">
        <x:v>Pass</x:v>
      </x:c>
      <x:c r="K9" s="6" t="str"/>
      <x:c r="L9" s="6" t="str">
        <x:v>No fix needed</x:v>
      </x:c>
      <x:c r="M9" s="6" t="str">
        <x:v>Pass</x:v>
      </x:c>
      <x:c r="N9" s="6" t="str">
        <x:v>2026-06-24</x:v>
      </x:c>
    </x:row>
    <x:row r="10">
      <x:c r="A10" s="6" t="str">
        <x:v>BS-US-009</x:v>
      </x:c>
      <x:c r="B10" s="6" t="str">
        <x:v>Project Intake</x:v>
      </x:c>
      <x:c r="C10" s="6" t="str">
        <x:v>Concept-only or unsupported draft resolution</x:v>
      </x:c>
      <x:c r="D10" s="6" t="str">
        <x:v>As a user, I cannot accidentally save an unsupported idea as a build packet without explicitly choosing a supported template.</x:v>
      </x:c>
      <x:c r="E10" s="6" t="str">
        <x:v>Concept-only and unsupported natural-language drafts require draft_resolution=supported_template_selected before create; otherwise redirect back with unresolved_idea.</x:v>
      </x:c>
      <x:c r="F10" s="6" t="str">
        <x:v>app/projects/create/route.ts; app/projects/new/page.tsx</x:v>
      </x:c>
      <x:c r="G10" s="6" t="str">
        <x:v>Unsupported woodworking-adjacent ideas, unrelated non-woodworking ideas, checkbox missing.</x:v>
      </x:c>
      <x:c r="H10" s="6" t="str">
        <x:v>natural-language-intake.test.ts; project-form-routes.test.ts</x:v>
      </x:c>
      <x:c r="I10" s="6" t="str">
        <x:v>Ready</x:v>
      </x:c>
      <x:c r="J10" s="6" t="str">
        <x:v>Pass</x:v>
      </x:c>
      <x:c r="K10" s="6" t="str"/>
      <x:c r="L10" s="6" t="str">
        <x:v>No fix needed</x:v>
      </x:c>
      <x:c r="M10" s="6" t="str">
        <x:v>Pass</x:v>
      </x:c>
      <x:c r="N10" s="6" t="str">
        <x:v>2026-06-24</x:v>
      </x:c>
    </x:row>
    <x:row r="11">
      <x:c r="A11" s="6" t="str">
        <x:v>BS-US-010</x:v>
      </x:c>
      <x:c r="B11" s="6" t="str">
        <x:v>Project Intake</x:v>
      </x:c>
      <x:c r="C11" s="6" t="str">
        <x:v>Safety-blocked draft protection</x:v>
      </x:c>
      <x:c r="D11" s="6" t="str">
        <x:v>As a user, I am blocked from saving safety-sensitive natural-language drafts as build setups.</x:v>
      </x:c>
      <x:c r="E11" s="6" t="str">
        <x:v>Blocked natural-language drafts redirect to blocked_idea and preserve draft review notes; createProject is not called.</x:v>
      </x:c>
      <x:c r="F11" s="6" t="str">
        <x:v>app/projects/create/route.ts; app/projects/new/page.tsx; lib/projects/natural-language-intake.ts</x:v>
      </x:c>
      <x:c r="G11" s="6" t="str">
        <x:v>Cribs, ladders, seating, overhead storage, child sleep/climbing hazards.</x:v>
      </x:c>
      <x:c r="H11" s="6" t="str">
        <x:v>natural-language-intake.test.ts; clarification-gate.test.ts</x:v>
      </x:c>
      <x:c r="I11" s="6" t="str">
        <x:v>Ready</x:v>
      </x:c>
      <x:c r="J11" s="6" t="str">
        <x:v>Pass</x:v>
      </x:c>
      <x:c r="K11" s="6" t="str"/>
      <x:c r="L11" s="6" t="str">
        <x:v>No fix needed</x:v>
      </x:c>
      <x:c r="M11" s="6" t="str">
        <x:v>Pass</x:v>
      </x:c>
      <x:c r="N11" s="6" t="str">
        <x:v>2026-06-24</x:v>
      </x:c>
    </x:row>
    <x:row r="12">
      <x:c r="A12" s="6" t="str">
        <x:v>BS-US-011</x:v>
      </x:c>
      <x:c r="B12" s="6" t="str">
        <x:v>Project Intake</x:v>
      </x:c>
      <x:c r="C12" s="6" t="str">
        <x:v>Draft preservation on invalid create</x:v>
      </x:c>
      <x:c r="D12" s="6" t="str">
        <x:v>As a user, I do not lose entered setup fields after submitting invalid intake.</x:v>
      </x:c>
      <x:c r="E12" s="6" t="str">
        <x:v>Invalid intake redirects to /projects/new?error=invalid_intake and stores the attempted draft in a short-lived HTTP-only cookie.</x:v>
      </x:c>
      <x:c r="F12" s="6" t="str">
        <x:v>app/projects/create/route.ts; lib/projects/intake-draft.ts</x:v>
      </x:c>
      <x:c r="G12" s="6" t="str">
        <x:v>Schema errors, natural-language draft metadata preservation, cookie max age.</x:v>
      </x:c>
      <x:c r="H12" s="6" t="str">
        <x:v>project-form-routes.test.ts</x:v>
      </x:c>
      <x:c r="I12" s="6" t="str">
        <x:v>Ready</x:v>
      </x:c>
      <x:c r="J12" s="6" t="str">
        <x:v>Pass</x:v>
      </x:c>
      <x:c r="K12" s="6" t="str"/>
      <x:c r="L12" s="6" t="str">
        <x:v>No fix needed</x:v>
      </x:c>
      <x:c r="M12" s="6" t="str">
        <x:v>Pass</x:v>
      </x:c>
      <x:c r="N12" s="6" t="str">
        <x:v>2026-06-24</x:v>
      </x:c>
    </x:row>
    <x:row r="13">
      <x:c r="A13" s="6" t="str">
        <x:v>BS-US-012</x:v>
      </x:c>
      <x:c r="B13" s="6" t="str">
        <x:v>Project Intake</x:v>
      </x:c>
      <x:c r="C13" s="6" t="str">
        <x:v>Shelf layout inputs</x:v>
      </x:c>
      <x:c r="D13" s="6" t="str">
        <x:v>As a shelf planner, I can specify single shelf, separate shelves, or connected unit plus count, spacing, and height.</x:v>
      </x:c>
      <x:c r="E13" s="6" t="str">
        <x:v>Shelf layout fields are only persisted for simple_shelf projects; multi-shelf layouts require valid count where routes enforce it.</x:v>
      </x:c>
      <x:c r="F13" s="6" t="str">
        <x:v>app/projects/new/page.tsx; app/projects/[id]/shelf-layout/route.ts; lib/projects/types.ts</x:v>
      </x:c>
      <x:c r="G13" s="6" t="str">
        <x:v>Missing count, impossible connected-unit height, separate shelves should not fail connected-unit height checks.</x:v>
      </x:c>
      <x:c r="H13" s="6" t="str">
        <x:v>project-shelf-layout-route.test.ts; shelf-layout-validation tests; readiness-friction e2e</x:v>
      </x:c>
      <x:c r="I13" s="6" t="str">
        <x:v>Ready</x:v>
      </x:c>
      <x:c r="J13" s="6" t="str">
        <x:v>Pass</x:v>
      </x:c>
      <x:c r="K13" s="6" t="str"/>
      <x:c r="L13" s="6" t="str">
        <x:v>No fix needed</x:v>
      </x:c>
      <x:c r="M13" s="6" t="str">
        <x:v>Pass</x:v>
      </x:c>
      <x:c r="N13" s="6" t="str">
        <x:v>2026-06-24</x:v>
      </x:c>
    </x:row>
    <x:row r="14">
      <x:c r="A14" s="6" t="str">
        <x:v>BS-US-013</x:v>
      </x:c>
      <x:c r="B14" s="6" t="str">
        <x:v>Project Intake</x:v>
      </x:c>
      <x:c r="C14" s="6" t="str">
        <x:v>Mounting and safety context capture</x:v>
      </x:c>
      <x:c r="D14" s="6" t="str">
        <x:v>As a wall-shelf user, I can capture mounting method, wall type, stud access, load, moisture, location, support count, risk spots, and obstructions.</x:v>
      </x:c>
      <x:c r="E14" s="6" t="str">
        <x:v>The form serializes these fields into managed Structured Intake text that downstream deterministic adapters can parse.</x:v>
      </x:c>
      <x:c r="F14" s="6" t="str">
        <x:v>app/projects/new/page.tsx; lib/projects/types.ts; lib/projects/managed-intake-sections.ts; lib/projects/project-intake-signals.ts</x:v>
      </x:c>
      <x:c r="G14" s="6" t="str">
        <x:v>Not sure values, not wall mounted, bathroom humidity, heavy load, support count.</x:v>
      </x:c>
      <x:c r="H14" s="6" t="str">
        <x:v>managed-intake-sections.test.ts; project-intake-signals.test.ts; create-build-model-draft.test.ts</x:v>
      </x:c>
      <x:c r="I14" s="6" t="str">
        <x:v>Ready</x:v>
      </x:c>
      <x:c r="J14" s="6" t="str">
        <x:v>Pass</x:v>
      </x:c>
      <x:c r="K14" s="6" t="str"/>
      <x:c r="L14" s="6" t="str">
        <x:v>No fix needed</x:v>
      </x:c>
      <x:c r="M14" s="6" t="str">
        <x:v>Pass</x:v>
      </x:c>
      <x:c r="N14" s="6" t="str">
        <x:v>2026-06-24</x:v>
      </x:c>
    </x:row>
    <x:row r="15">
      <x:c r="A15" s="6" t="str">
        <x:v>BS-US-014</x:v>
      </x:c>
      <x:c r="B15" s="6" t="str">
        <x:v>Project Intake</x:v>
      </x:c>
      <x:c r="C15" s="6" t="str">
        <x:v>High-risk spot exclusivity</x:v>
      </x:c>
      <x:c r="D15" s="6" t="str">
        <x:v>As a user, I can select risk spots without contradictory none/not-sure combinations.</x:v>
      </x:c>
      <x:c r="E15" s="6" t="str">
        <x:v>Checking none_of_these or not_sure clears other risk spots; selecting a concrete risk clears the exclusive values.</x:v>
      </x:c>
      <x:c r="F15" s="6" t="str">
        <x:v>app/projects/new/ProjectIntakeFormEnhancements.tsx</x:v>
      </x:c>
      <x:c r="G15" s="6" t="str">
        <x:v>Multiple clicks, form change events, persisted default checked values.</x:v>
      </x:c>
      <x:c r="H15" s="6" t="str">
        <x:v>Not directly covered</x:v>
      </x:c>
      <x:c r="I15" s="6" t="str">
        <x:v>Ready</x:v>
      </x:c>
      <x:c r="J15" s="6" t="str">
        <x:v>Pass</x:v>
      </x:c>
      <x:c r="K15" s="6" t="str"/>
      <x:c r="L15" s="6" t="str">
        <x:v>No fix needed</x:v>
      </x:c>
      <x:c r="M15" s="6" t="str">
        <x:v>Pass</x:v>
      </x:c>
      <x:c r="N15" s="6" t="str">
        <x:v>2026-06-24</x:v>
      </x:c>
    </x:row>
    <x:row r="16">
      <x:c r="A16" s="6" t="str">
        <x:v>BS-US-015</x:v>
      </x:c>
      <x:c r="B16" s="6" t="str">
        <x:v>Project Intake</x:v>
      </x:c>
      <x:c r="C16" s="6" t="str">
        <x:v>Quick-select basic tools</x:v>
      </x:c>
      <x:c r="D16" s="6" t="str">
        <x:v>As a beginner, I can quickly select basic layout and safety tools.</x:v>
      </x:c>
      <x:c r="E16" s="6" t="str">
        <x:v>The quick-select button checks tape measure, pencil, level, and safety glasses, then updates live form summary.</x:v>
      </x:c>
      <x:c r="F16" s="6" t="str">
        <x:v>app/projects/new/ProjectIntakeFormEnhancements.tsx; app/projects/new/ProjectIntakeLiveSummary.tsx</x:v>
      </x:c>
      <x:c r="G16" s="6" t="str">
        <x:v>Button outside expected form, repeated clicks, summary update.</x:v>
      </x:c>
      <x:c r="H16" s="6" t="str">
        <x:v>e2e/readiness-friction.spec.ts</x:v>
      </x:c>
      <x:c r="I16" s="6" t="str">
        <x:v>Ready</x:v>
      </x:c>
      <x:c r="J16" s="6" t="str">
        <x:v>Pass</x:v>
      </x:c>
      <x:c r="K16" s="6" t="str"/>
      <x:c r="L16" s="6" t="str">
        <x:v>No fix needed</x:v>
      </x:c>
      <x:c r="M16" s="6" t="str">
        <x:v>Pass</x:v>
      </x:c>
      <x:c r="N16" s="6" t="str">
        <x:v>2026-06-24</x:v>
      </x:c>
    </x:row>
    <x:row r="17">
      <x:c r="A17" s="6" t="str">
        <x:v>BS-US-016</x:v>
      </x:c>
      <x:c r="B17" s="6" t="str">
        <x:v>Project Intake</x:v>
      </x:c>
      <x:c r="C17" s="6" t="str">
        <x:v>Live review summary</x:v>
      </x:c>
      <x:c r="D17" s="6" t="str">
        <x:v>As a user, I can see missing required info and later review items before saving.</x:v>
      </x:c>
      <x:c r="E17" s="6" t="str">
        <x:v>Client summary updates on input/change, lists missing title/dimensions/thickness/material/tools, review items, readiness chips, and submit label.</x:v>
      </x:c>
      <x:c r="F17" s="6" t="str">
        <x:v>app/projects/new/ProjectIntakeLiveSummary.tsx</x:v>
      </x:c>
      <x:c r="G17" s="6" t="str">
        <x:v>Required vs review-only, measurement confidence, heavy load, no tools.</x:v>
      </x:c>
      <x:c r="H17" s="6" t="str">
        <x:v>e2e/readiness-friction.spec.ts partially</x:v>
      </x:c>
      <x:c r="I17" s="6" t="str">
        <x:v>Ready</x:v>
      </x:c>
      <x:c r="J17" s="6" t="str">
        <x:v>Pass</x:v>
      </x:c>
      <x:c r="K17" s="6" t="str"/>
      <x:c r="L17" s="6" t="str">
        <x:v>No fix needed</x:v>
      </x:c>
      <x:c r="M17" s="6" t="str">
        <x:v>Pass</x:v>
      </x:c>
      <x:c r="N17" s="6" t="str">
        <x:v>2026-06-24</x:v>
      </x:c>
    </x:row>
    <x:row r="18">
      <x:c r="A18" s="6" t="str">
        <x:v>BS-US-017</x:v>
      </x:c>
      <x:c r="B18" s="6" t="str">
        <x:v>Project Intake</x:v>
      </x:c>
      <x:c r="C18" s="6" t="str">
        <x:v>Create project</x:v>
      </x:c>
      <x:c r="D18" s="6" t="str">
        <x:v>As a user, I can save a valid setup and land on the project detail page.</x:v>
      </x:c>
      <x:c r="E18" s="6" t="str">
        <x:v>Create route parses form data, calculates safety flags through storage, revalidates dashboard/list, clears draft cookie, and redirects to /projects/[id].</x:v>
      </x:c>
      <x:c r="F18" s="6" t="str">
        <x:v>app/projects/create/route.ts; lib/storage/project-store.ts; lib/safety/safety-review.ts</x:v>
      </x:c>
      <x:c r="G18" s="6" t="str">
        <x:v>Invalid intake, natural-language resolution, local/Supabase persistence.</x:v>
      </x:c>
      <x:c r="H18" s="6" t="str">
        <x:v>project-form-routes.test.ts; project-store.test.ts; project-store-supabase-rpc.test.ts</x:v>
      </x:c>
      <x:c r="I18" s="6" t="str">
        <x:v>Ready</x:v>
      </x:c>
      <x:c r="J18" s="6" t="str">
        <x:v>Pass</x:v>
      </x:c>
      <x:c r="K18" s="6" t="str"/>
      <x:c r="L18" s="6" t="str">
        <x:v>No fix needed</x:v>
      </x:c>
      <x:c r="M18" s="6" t="str">
        <x:v>Pass</x:v>
      </x:c>
      <x:c r="N18" s="6" t="str">
        <x:v>2026-06-24</x:v>
      </x:c>
    </x:row>
    <x:row r="19">
      <x:c r="A19" s="6" t="str">
        <x:v>BS-US-018</x:v>
      </x:c>
      <x:c r="B19" s="6" t="str">
        <x:v>Project List</x:v>
      </x:c>
      <x:c r="C19" s="6" t="str">
        <x:v>Project library filters</x:v>
      </x:c>
      <x:c r="D19" s="6" t="str">
        <x:v>As a user, I can search and filter projects by text, archive state, type, status, plan state, and record state.</x:v>
      </x:c>
      <x:c r="E19" s="6" t="str">
        <x:v>Projects page sorts by updated_at/created_at/title, applies archive filter first, and displays clear filter summaries and no-results states.</x:v>
      </x:c>
      <x:c r="F19" s="6" t="str">
        <x:v>app/projects/page.tsx</x:v>
      </x:c>
      <x:c r="G19" s="6" t="str">
        <x:v>Archived filter, built status, no plan, notes/build-log record, invalid query values.</x:v>
      </x:c>
      <x:c r="H19" s="6" t="str">
        <x:v>project-list-page.test.ts</x:v>
      </x:c>
      <x:c r="I19" s="6" t="str">
        <x:v>Ready</x:v>
      </x:c>
      <x:c r="J19" s="6" t="str">
        <x:v>Pass</x:v>
      </x:c>
      <x:c r="K19" s="6" t="str"/>
      <x:c r="L19" s="6" t="str">
        <x:v>No fix needed</x:v>
      </x:c>
      <x:c r="M19" s="6" t="str">
        <x:v>Pass</x:v>
      </x:c>
      <x:c r="N19" s="6" t="str">
        <x:v>2026-06-24</x:v>
      </x:c>
    </x:row>
    <x:row r="20">
      <x:c r="A20" s="6" t="str">
        <x:v>BS-US-019</x:v>
      </x:c>
      <x:c r="B20" s="6" t="str">
        <x:v>Project List</x:v>
      </x:c>
      <x:c r="C20" s="6" t="str">
        <x:v>Project list actions and badges</x:v>
      </x:c>
      <x:c r="D20" s="6" t="str">
        <x:v>As a user, I can open, print, review records, archive, or restore from each project row based on state.</x:v>
      </x:c>
      <x:c r="E20" s="6" t="str">
        <x:v>Cards show next-step label, status strip, generated plan count, notes/build-log indicators, print link only when a plan exists, archive or restore action.</x:v>
      </x:c>
      <x:c r="F20" s="6" t="str">
        <x:v>app/projects/page.tsx</x:v>
      </x:c>
      <x:c r="G20" s="6" t="str">
        <x:v>Archived, built, failed generation with/without plan, no generated plan.</x:v>
      </x:c>
      <x:c r="H20" s="6" t="str">
        <x:v>project-list-page.test.ts; project-archive-route.test.ts</x:v>
      </x:c>
      <x:c r="I20" s="6" t="str">
        <x:v>Ready</x:v>
      </x:c>
      <x:c r="J20" s="6" t="str">
        <x:v>Pass</x:v>
      </x:c>
      <x:c r="K20" s="6" t="str"/>
      <x:c r="L20" s="6" t="str">
        <x:v>No fix needed</x:v>
      </x:c>
      <x:c r="M20" s="6" t="str">
        <x:v>Pass</x:v>
      </x:c>
      <x:c r="N20" s="6" t="str">
        <x:v>2026-06-24</x:v>
      </x:c>
    </x:row>
    <x:row r="21">
      <x:c r="A21" s="6" t="str">
        <x:v>BS-US-020</x:v>
      </x:c>
      <x:c r="B21" s="6" t="str">
        <x:v>Project List</x:v>
      </x:c>
      <x:c r="C21" s="6" t="str">
        <x:v>List-level success and error feedback</x:v>
      </x:c>
      <x:c r="D21" s="6" t="str">
        <x:v>As a user, I see non-technical list messages when archive/restore or route errors occur.</x:v>
      </x:c>
      <x:c r="E21" s="6" t="str">
        <x:v>Known error query strings map to friendly copy; archive/restored query flags show green confirmation.</x:v>
      </x:c>
      <x:c r="F21" s="6" t="str">
        <x:v>app/projects/page.tsx; lib/projects/project-list-errors.ts</x:v>
      </x:c>
      <x:c r="G21" s="6" t="str">
        <x:v>Unknown errors, not found, already archived/not archived.</x:v>
      </x:c>
      <x:c r="H21" s="6" t="str">
        <x:v>project-list-errors.test.ts; project-list-page.test.ts</x:v>
      </x:c>
      <x:c r="I21" s="6" t="str">
        <x:v>Ready</x:v>
      </x:c>
      <x:c r="J21" s="6" t="str">
        <x:v>Pass</x:v>
      </x:c>
      <x:c r="K21" s="6" t="str"/>
      <x:c r="L21" s="6" t="str">
        <x:v>No fix needed</x:v>
      </x:c>
      <x:c r="M21" s="6" t="str">
        <x:v>Pass</x:v>
      </x:c>
      <x:c r="N21" s="6" t="str">
        <x:v>2026-06-24</x:v>
      </x:c>
    </x:row>
    <x:row r="22">
      <x:c r="A22" s="6" t="str">
        <x:v>BS-US-021</x:v>
      </x:c>
      <x:c r="B22" s="6" t="str">
        <x:v>Project Detail</x:v>
      </x:c>
      <x:c r="C22" s="6" t="str">
        <x:v>No-plan detail state</x:v>
      </x:c>
      <x:c r="D22" s="6" t="str">
        <x:v>As a user, I can review saved intake, readiness, template guidance, notes, and generate action before any plan exists.</x:v>
      </x:c>
      <x:c r="E22" s="6" t="str">
        <x:v>Detail page builds no-plan snapshot from template/build model, shows recommended next step, readiness gate, intake, review triggers, empty plan state, and record section.</x:v>
      </x:c>
      <x:c r="F22" s="6" t="str">
        <x:v>app/projects/[id]/page.tsx; lib/plans/gated-build-packet-snapshot.ts</x:v>
      </x:c>
      <x:c r="G22" s="6" t="str">
        <x:v>Unsupported/concept-only, archived, missing dimensions, no template hint.</x:v>
      </x:c>
      <x:c r="H22" s="6" t="str">
        <x:v>project-detail-build-model.test.ts; project-planning-lifecycle.test.ts</x:v>
      </x:c>
      <x:c r="I22" s="6" t="str">
        <x:v>Ready</x:v>
      </x:c>
      <x:c r="J22" s="6" t="str">
        <x:v>Pass</x:v>
      </x:c>
      <x:c r="K22" s="6" t="str"/>
      <x:c r="L22" s="6" t="str">
        <x:v>No fix needed</x:v>
      </x:c>
      <x:c r="M22" s="6" t="str">
        <x:v>Pass</x:v>
      </x:c>
      <x:c r="N22" s="6" t="str">
        <x:v>2026-06-24</x:v>
      </x:c>
    </x:row>
    <x:row r="23">
      <x:c r="A23" s="6" t="str">
        <x:v>BS-US-022</x:v>
      </x:c>
      <x:c r="B23" s="6" t="str">
        <x:v>Project Detail</x:v>
      </x:c>
      <x:c r="C23" s="6" t="str">
        <x:v>Clarification gate</x:v>
      </x:c>
      <x:c r="D23" s="6" t="str">
        <x:v>As a user, I see targeted questions before generation when important details are missing or unsafe.</x:v>
      </x:c>
      <x:c r="E23" s="6" t="str">
        <x:v>Clarification gate returns ready/needs_details/blocked/concept/unsupported states, shows answerable questions, and blocks generation when not ready.</x:v>
      </x:c>
      <x:c r="F23" s="6" t="str">
        <x:v>lib/projects/clarification-gate.ts; app/projects/[id]/page.tsx</x:v>
      </x:c>
      <x:c r="G23" s="6" t="str">
        <x:v>Heavy shelves, bathroom humidity, raised planter support, child/electrical, unsupported ideas.</x:v>
      </x:c>
      <x:c r="H23" s="6" t="str">
        <x:v>clarification-gate.test.ts; project-planning-lifecycle.test.ts; e2e/readiness-friction.spec.ts</x:v>
      </x:c>
      <x:c r="I23" s="6" t="str">
        <x:v>Ready</x:v>
      </x:c>
      <x:c r="J23" s="6" t="str">
        <x:v>Pass</x:v>
      </x:c>
      <x:c r="K23" s="6" t="str"/>
      <x:c r="L23" s="6" t="str">
        <x:v>No fix needed</x:v>
      </x:c>
      <x:c r="M23" s="6" t="str">
        <x:v>Pass</x:v>
      </x:c>
      <x:c r="N23" s="6" t="str">
        <x:v>2026-06-24</x:v>
      </x:c>
    </x:row>
    <x:row r="24">
      <x:c r="A24" s="6" t="str">
        <x:v>BS-US-023</x:v>
      </x:c>
      <x:c r="B24" s="6" t="str">
        <x:v>Project Detail</x:v>
      </x:c>
      <x:c r="C24" s="6" t="str">
        <x:v>Clarification answer update</x:v>
      </x:c>
      <x:c r="D24" s="6" t="str">
        <x:v>As a user, I can answer readiness questions and save them back to Project Intake without creating a plan version.</x:v>
      </x:c>
      <x:c r="E24" s="6" t="str">
        <x:v>Clarification route validates answerable fields, updates structured intake/managed sections, revalidates detail, and redirects with clarification_status.</x:v>
      </x:c>
      <x:c r="F24" s="6" t="str">
        <x:v>app/projects/[id]/clarification/route.ts; lib/projects/clarification-answer-loop.ts</x:v>
      </x:c>
      <x:c r="G24" s="6" t="str">
        <x:v>Empty answers, archived project, missing schema columns, next readiness status.</x:v>
      </x:c>
      <x:c r="H24" s="6" t="str">
        <x:v>clarification-answer-loop.test.ts; project-clarification-route.test.ts</x:v>
      </x:c>
      <x:c r="I24" s="6" t="str">
        <x:v>Ready</x:v>
      </x:c>
      <x:c r="J24" s="6" t="str">
        <x:v>Pass</x:v>
      </x:c>
      <x:c r="K24" s="6" t="str"/>
      <x:c r="L24" s="6" t="str">
        <x:v>No fix needed</x:v>
      </x:c>
      <x:c r="M24" s="6" t="str">
        <x:v>Pass</x:v>
      </x:c>
      <x:c r="N24" s="6" t="str">
        <x:v>2026-06-24</x:v>
      </x:c>
    </x:row>
    <x:row r="25">
      <x:c r="A25" s="6" t="str">
        <x:v>BS-US-024</x:v>
      </x:c>
      <x:c r="B25" s="6" t="str">
        <x:v>Generation</x:v>
      </x:c>
      <x:c r="C25" s="6" t="str">
        <x:v>Generate plan command</x:v>
      </x:c>
      <x:c r="D25" s="6" t="str">
        <x:v>As a user, I can generate a plan only when the project lifecycle allows it.</x:v>
      </x:c>
      <x:c r="E25" s="6" t="str">
        <x:v>Generate route checks archived state, clarification gate, shelf-layout blockers, then drafts build model, calls structured OpenAI generation, validates, saves latest plan.</x:v>
      </x:c>
      <x:c r="F25" s="6" t="str">
        <x:v>app/projects/[id]/generate/route.ts; lib/projects/project-planning-lifecycle.ts</x:v>
      </x:c>
      <x:c r="G25" s="6" t="str">
        <x:v>Archived, clarification_gate, missing/invalid shelf layout, OpenAI failure, deterministic quality failure.</x:v>
      </x:c>
      <x:c r="H25" s="6" t="str">
        <x:v>generate-route-feedback.test.ts; generation-feedback.test.ts; generate-project-plan.test.ts</x:v>
      </x:c>
      <x:c r="I25" s="6" t="str">
        <x:v>Ready</x:v>
      </x:c>
      <x:c r="J25" s="6" t="str">
        <x:v>Pass</x:v>
      </x:c>
      <x:c r="K25" s="6" t="str"/>
      <x:c r="L25" s="6" t="str">
        <x:v>No fix needed</x:v>
      </x:c>
      <x:c r="M25" s="6" t="str">
        <x:v>Pass</x:v>
      </x:c>
      <x:c r="N25" s="6" t="str">
        <x:v>2026-06-24</x:v>
      </x:c>
    </x:row>
    <x:row r="26">
      <x:c r="A26" s="6" t="str">
        <x:v>BS-US-025</x:v>
      </x:c>
      <x:c r="B26" s="6" t="str">
        <x:v>Generation</x:v>
      </x:c>
      <x:c r="C26" s="6" t="str">
        <x:v>Generation failure feedback</x:v>
      </x:c>
      <x:c r="D26" s="6" t="str">
        <x:v>As a user, I get specific repair guidance when generation is blocked or fails.</x:v>
      </x:c>
      <x:c r="E26" s="6" t="str">
        <x:v>Known failure reasons render non-technical panels and next actions; archived saves do not mark failed; deterministic failures are safe.</x:v>
      </x:c>
      <x:c r="F26" s="6" t="str">
        <x:v>lib/ai/generation-feedback.ts; app/projects/[id]/page.tsx</x:v>
      </x:c>
      <x:c r="G26" s="6" t="str">
        <x:v>Missing API key, validation/quality failures, archived stale save, impossible shelf height.</x:v>
      </x:c>
      <x:c r="H26" s="6" t="str">
        <x:v>generation-feedback.test.ts; generate-route-feedback.test.ts</x:v>
      </x:c>
      <x:c r="I26" s="6" t="str">
        <x:v>Ready</x:v>
      </x:c>
      <x:c r="J26" s="6" t="str">
        <x:v>Pass</x:v>
      </x:c>
      <x:c r="K26" s="6" t="str"/>
      <x:c r="L26" s="6" t="str">
        <x:v>No fix needed</x:v>
      </x:c>
      <x:c r="M26" s="6" t="str">
        <x:v>Pass</x:v>
      </x:c>
      <x:c r="N26" s="6" t="str">
        <x:v>2026-06-24</x:v>
      </x:c>
    </x:row>
    <x:row r="27">
      <x:c r="A27" s="6" t="str">
        <x:v>BS-US-026</x:v>
      </x:c>
      <x:c r="B27" s="6" t="str">
        <x:v>Plan Packet</x:v>
      </x:c>
      <x:c r="C27" s="6" t="str">
        <x:v>Core packet order</x:v>
      </x:c>
      <x:c r="D27" s="6" t="str">
        <x:v>As a user, I can read a generated plan in the expected packet order.</x:v>
      </x:c>
      <x:c r="E27" s="6" t="str">
        <x:v>Detail plan order is Build Snapshot, Hero Visual, Project Visuals / Diagrams, Check Before Building, Materials and Parts, Cut Checklist, Buying Plan, Build Guide, Reference Review Notes.</x:v>
      </x:c>
      <x:c r="F27" s="6" t="str">
        <x:v>app/projects/[id]/page.tsx; lib/plans/printable-plan-packet.ts</x:v>
      </x:c>
      <x:c r="G27" s="6" t="str">
        <x:v>No generated plan, unresolved dimensions, mobile horizontal cut table.</x:v>
      </x:c>
      <x:c r="H27" s="6" t="str">
        <x:v>plan-packet-contract.test.ts; e2e/packet-smoke.spec.ts</x:v>
      </x:c>
      <x:c r="I27" s="6" t="str">
        <x:v>Ready</x:v>
      </x:c>
      <x:c r="J27" s="6" t="str">
        <x:v>Pass</x:v>
      </x:c>
      <x:c r="K27" s="6" t="str"/>
      <x:c r="L27" s="6" t="str">
        <x:v>No fix needed</x:v>
      </x:c>
      <x:c r="M27" s="6" t="str">
        <x:v>Pass</x:v>
      </x:c>
      <x:c r="N27" s="6" t="str">
        <x:v>2026-06-24</x:v>
      </x:c>
    </x:row>
    <x:row r="28">
      <x:c r="A28" s="6" t="str">
        <x:v>BS-US-027</x:v>
      </x:c>
      <x:c r="B28" s="6" t="str">
        <x:v>Plan Packet</x:v>
      </x:c>
      <x:c r="C28" s="6" t="str">
        <x:v>Hero visual and diagrams</x:v>
      </x:c>
      <x:c r="D28" s="6" t="str">
        <x:v>As a builder, I can see deterministic visuals that reflect structured build data rather than prose.</x:v>
      </x:c>
      <x:c r="E28" s="6" t="str">
        <x:v>Wall shelf and planter visuals use deterministic view models/renderers and safe fallbacks when geometry is missing.</x:v>
      </x:c>
      <x:c r="F28" s="6" t="str">
        <x:v>app/projects/[id]/PlanPacketSections.tsx; app/projects/[id]/WallShelfDiagrams.tsx; app/projects/[id]/PlanterBoxCutDiagram.tsx; lib/plans/*diagram*</x:v>
      </x:c>
      <x:c r="G28" s="6" t="str">
        <x:v>Missing dimensions, invalid multi-shelf height, unresolved support/frame, print compatibility.</x:v>
      </x:c>
      <x:c r="H28" s="6" t="str">
        <x:v>wall-shelf-diagrams-render.test.ts; wall-shelf-diagram-view-model.test.ts; planter-box-packet-view-models.test.ts; e2e/packet-smoke.spec.ts</x:v>
      </x:c>
      <x:c r="I28" s="6" t="str">
        <x:v>Ready</x:v>
      </x:c>
      <x:c r="J28" s="6" t="str">
        <x:v>Pass</x:v>
      </x:c>
      <x:c r="K28" s="6" t="str"/>
      <x:c r="L28" s="6" t="str">
        <x:v>No fix needed</x:v>
      </x:c>
      <x:c r="M28" s="6" t="str">
        <x:v>Pass</x:v>
      </x:c>
      <x:c r="N28" s="6" t="str">
        <x:v>2026-06-24</x:v>
      </x:c>
    </x:row>
    <x:row r="29">
      <x:c r="A29" s="6" t="str">
        <x:v>BS-US-028</x:v>
      </x:c>
      <x:c r="B29" s="6" t="str">
        <x:v>Plan Packet</x:v>
      </x:c>
      <x:c r="C29" s="6" t="str">
        <x:v>Material summary</x:v>
      </x:c>
      <x:c r="D29" s="6" t="str">
        <x:v>As a user, I can review primary materials, hardware, finish supplies, and assumptions before buying.</x:v>
      </x:c>
      <x:c r="E29" s="6" t="str">
        <x:v>Material summary groups plan/build-model materials and shows calm review notes when material data is missing or vague.</x:v>
      </x:c>
      <x:c r="F29" s="6" t="str">
        <x:v>lib/plans/material-summary.ts; app/projects/[id]/page.tsx</x:v>
      </x:c>
      <x:c r="G29" s="6" t="str">
        <x:v>Missing material, hardware placeholders, finish-only notes.</x:v>
      </x:c>
      <x:c r="H29" s="6" t="str">
        <x:v>material-summary.test.ts; printable-plan-manifest.test.ts</x:v>
      </x:c>
      <x:c r="I29" s="6" t="str">
        <x:v>Ready</x:v>
      </x:c>
      <x:c r="J29" s="6" t="str">
        <x:v>Pass</x:v>
      </x:c>
      <x:c r="K29" s="6" t="str"/>
      <x:c r="L29" s="6" t="str">
        <x:v>No fix needed</x:v>
      </x:c>
      <x:c r="M29" s="6" t="str">
        <x:v>Pass</x:v>
      </x:c>
      <x:c r="N29" s="6" t="str">
        <x:v>2026-06-24</x:v>
      </x:c>
    </x:row>
    <x:row r="30">
      <x:c r="A30" s="6" t="str">
        <x:v>BS-US-029</x:v>
      </x:c>
      <x:c r="B30" s="6" t="str">
        <x:v>Plan Packet</x:v>
      </x:c>
      <x:c r="C30" s="6" t="str">
        <x:v>Cut list review</x:v>
      </x:c>
      <x:c r="D30" s="6" t="str">
        <x:v>As a user, I can verify piece counts, dimensions, material, duplicates, and missing measurements before cutting.</x:v>
      </x:c>
      <x:c r="E30" s="6" t="str">
        <x:v>Cut-list review reconciles generated cuts and build-model pieces, flags missing/unresolved/placeholder dimensions, duplicate-looking rows, and unsafe cutting states.</x:v>
      </x:c>
      <x:c r="F30" s="6" t="str">
        <x:v>lib/plans/cut-list-review.ts; app/projects/[id]/page.tsx</x:v>
      </x:c>
      <x:c r="G30" s="6" t="str">
        <x:v>Empty generated cut list, duplicate pieces, unresolved dimensions, suspicious quantity.</x:v>
      </x:c>
      <x:c r="H30" s="6" t="str">
        <x:v>cut-list-review.test.ts; printable-plan-manifest.test.ts</x:v>
      </x:c>
      <x:c r="I30" s="6" t="str">
        <x:v>Ready</x:v>
      </x:c>
      <x:c r="J30" s="6" t="str">
        <x:v>Pass</x:v>
      </x:c>
      <x:c r="K30" s="6" t="str"/>
      <x:c r="L30" s="6" t="str">
        <x:v>No fix needed</x:v>
      </x:c>
      <x:c r="M30" s="6" t="str">
        <x:v>Pass</x:v>
      </x:c>
      <x:c r="N30" s="6" t="str">
        <x:v>2026-06-24</x:v>
      </x:c>
    </x:row>
    <x:row r="31">
      <x:c r="A31" s="6" t="str">
        <x:v>BS-US-030</x:v>
      </x:c>
      <x:c r="B31" s="6" t="str">
        <x:v>Plan Packet</x:v>
      </x:c>
      <x:c r="C31" s="6" t="str">
        <x:v>Plan review and export readiness</x:v>
      </x:c>
      <x:c r="D31" s="6" t="str">
        <x:v>As a user, I can see plan quality and future-output readiness without mistaking it for an export feature.</x:v>
      </x:c>
      <x:c r="E31" s="6" t="str">
        <x:v>Plan Review and Export Readiness summarize deterministic warnings/blockers and explicitly avoid app-generated PDF/CAD/DXF promises.</x:v>
      </x:c>
      <x:c r="F31" s="6" t="str">
        <x:v>lib/plans/plan-quality.ts; lib/plans/export-readiness.ts; app/projects/[id]/page.tsx</x:v>
      </x:c>
      <x:c r="G31" s="6" t="str">
        <x:v>Derived build model, limited confidence, unsupported output candidates.</x:v>
      </x:c>
      <x:c r="H31" s="6" t="str">
        <x:v>plan-quality.test.ts; export-readiness.test.ts</x:v>
      </x:c>
      <x:c r="I31" s="6" t="str">
        <x:v>Ready</x:v>
      </x:c>
      <x:c r="J31" s="6" t="str">
        <x:v>Pass</x:v>
      </x:c>
      <x:c r="K31" s="6" t="str"/>
      <x:c r="L31" s="6" t="str">
        <x:v>No fix needed</x:v>
      </x:c>
      <x:c r="M31" s="6" t="str">
        <x:v>Pass</x:v>
      </x:c>
      <x:c r="N31" s="6" t="str">
        <x:v>2026-06-24</x:v>
      </x:c>
    </x:row>
    <x:row r="32">
      <x:c r="A32" s="6" t="str">
        <x:v>BS-US-031</x:v>
      </x:c>
      <x:c r="B32" s="6" t="str">
        <x:v>Plan Packet</x:v>
      </x:c>
      <x:c r="C32" s="6" t="str">
        <x:v>Action checklist</x:v>
      </x:c>
      <x:c r="D32" s="6" t="str">
        <x:v>As a user, I get prioritized review actions before buying, cutting, mounting, or building.</x:v>
      </x:c>
      <x:c r="E32" s="6" t="str">
        <x:v>Checklist derives required/review/optional actions from safety, mounting, hardware, material, cut-list, and unresolved questions with planning-aid copy.</x:v>
      </x:c>
      <x:c r="F32" s="6" t="str">
        <x:v>lib/plans/plan-action-checklist.ts; app/projects/[id]/PlanActionChecklist.tsx</x:v>
      </x:c>
      <x:c r="G32" s="6" t="str">
        <x:v>Hardware-only unknowns, child/outdoor/load triggers, no specific signals.</x:v>
      </x:c>
      <x:c r="H32" s="6" t="str">
        <x:v>plan-action-checklist.test.ts</x:v>
      </x:c>
      <x:c r="I32" s="6" t="str">
        <x:v>Ready</x:v>
      </x:c>
      <x:c r="J32" s="6" t="str">
        <x:v>Pass</x:v>
      </x:c>
      <x:c r="K32" s="6" t="str"/>
      <x:c r="L32" s="6" t="str">
        <x:v>No fix needed</x:v>
      </x:c>
      <x:c r="M32" s="6" t="str">
        <x:v>Pass</x:v>
      </x:c>
      <x:c r="N32" s="6" t="str">
        <x:v>2026-06-24</x:v>
      </x:c>
    </x:row>
    <x:row r="33">
      <x:c r="A33" s="6" t="str">
        <x:v>BS-US-032</x:v>
      </x:c>
      <x:c r="B33" s="6" t="str">
        <x:v>Plan Packet</x:v>
      </x:c>
      <x:c r="C33" s="6" t="str">
        <x:v>Advanced project details</x:v>
      </x:c>
      <x:c r="D33" s="6" t="str">
        <x:v>As a user, I can inspect intake, template guidance, build model, plan review, history, and records without cluttering the primary packet.</x:v>
      </x:c>
      <x:c r="E33" s="6" t="str">
        <x:v>Advanced details are in a disclosure once a plan exists and include actions, nav, intake, triggers, template guidance, build model, review panels, tweak, comparison, history, and records.</x:v>
      </x:c>
      <x:c r="F33" s="6" t="str">
        <x:v>app/projects/[id]/page.tsx</x:v>
      </x:c>
      <x:c r="G33" s="6" t="str">
        <x:v>Disclosure content order, archived projects, no latest plan.</x:v>
      </x:c>
      <x:c r="H33" s="6" t="str">
        <x:v>project-detail-build-model.test.ts; print-preview-page.test.ts partially</x:v>
      </x:c>
      <x:c r="I33" s="6" t="str">
        <x:v>Ready</x:v>
      </x:c>
      <x:c r="J33" s="6" t="str">
        <x:v>Pass</x:v>
      </x:c>
      <x:c r="K33" s="6" t="str"/>
      <x:c r="L33" s="6" t="str">
        <x:v>No fix needed</x:v>
      </x:c>
      <x:c r="M33" s="6" t="str">
        <x:v>Pass</x:v>
      </x:c>
      <x:c r="N33" s="6" t="str">
        <x:v>2026-06-24</x:v>
      </x:c>
    </x:row>
    <x:row r="34">
      <x:c r="A34" s="6" t="str">
        <x:v>BS-US-033</x:v>
      </x:c>
      <x:c r="B34" s="6" t="str">
        <x:v>Plan History</x:v>
      </x:c>
      <x:c r="C34" s="6" t="str">
        <x:v>Plan versions and comparison</x:v>
      </x:c>
      <x:c r="D34" s="6" t="str">
        <x:v>As a user, I can compare the latest plan with older versions and understand practical changes.</x:v>
      </x:c>
      <x:c r="E34" s="6" t="str">
        <x:v>Saved plans are versioned, latest is selected deterministically, older versions can be compared with calm no-change copy.</x:v>
      </x:c>
      <x:c r="F34" s="6" t="str">
        <x:v>lib/plans/plan-comparison.ts; app/projects/[id]/page.tsx; lib/storage/project-store.ts</x:v>
      </x:c>
      <x:c r="G34" s="6" t="str">
        <x:v>Only one version, latest-attempt failed with saved plan, older plan selected by query.</x:v>
      </x:c>
      <x:c r="H34" s="6" t="str">
        <x:v>plan-comparison.test.ts; project-store.test.ts</x:v>
      </x:c>
      <x:c r="I34" s="6" t="str">
        <x:v>Ready</x:v>
      </x:c>
      <x:c r="J34" s="6" t="str">
        <x:v>Pass</x:v>
      </x:c>
      <x:c r="K34" s="6" t="str"/>
      <x:c r="L34" s="6" t="str">
        <x:v>No fix needed</x:v>
      </x:c>
      <x:c r="M34" s="6" t="str">
        <x:v>Pass</x:v>
      </x:c>
      <x:c r="N34" s="6" t="str">
        <x:v>2026-06-24</x:v>
      </x:c>
    </x:row>
    <x:row r="35">
      <x:c r="A35" s="6" t="str">
        <x:v>BS-US-034</x:v>
      </x:c>
      <x:c r="B35" s="6" t="str">
        <x:v>Revision</x:v>
      </x:c>
      <x:c r="C35" s="6" t="str">
        <x:v>Direct plan revision</x:v>
      </x:c>
      <x:c r="D35" s="6" t="str">
        <x:v>As a user, I can request a safe prose-only plan tweak and receive a new saved version.</x:v>
      </x:c>
      <x:c r="E35" s="6" t="str">
        <x:v>Revision route normalizes input, requires latest plan, classifies intent, calls revised structured generation, saves new latest plan, and redirects to comparison.</x:v>
      </x:c>
      <x:c r="F35" s="6" t="str">
        <x:v>app/projects/[id]/revise/route.ts; lib/plans/revision-intent.ts</x:v>
      </x:c>
      <x:c r="G35" s="6" t="str">
        <x:v>Empty, too long, no plan, archived, generation failure.</x:v>
      </x:c>
      <x:c r="H35" s="6" t="str">
        <x:v>tweak-plan-route.test.ts; revision-intent.test.ts</x:v>
      </x:c>
      <x:c r="I35" s="6" t="str">
        <x:v>Ready</x:v>
      </x:c>
      <x:c r="J35" s="6" t="str">
        <x:v>Pass</x:v>
      </x:c>
      <x:c r="K35" s="6" t="str"/>
      <x:c r="L35" s="6" t="str">
        <x:v>No fix needed</x:v>
      </x:c>
      <x:c r="M35" s="6" t="str">
        <x:v>Pass</x:v>
      </x:c>
      <x:c r="N35" s="6" t="str">
        <x:v>2026-06-24</x:v>
      </x:c>
    </x:row>
    <x:row r="36">
      <x:c r="A36" s="6" t="str">
        <x:v>BS-US-035</x:v>
      </x:c>
      <x:c r="B36" s="6" t="str">
        <x:v>Revision</x:v>
      </x:c>
      <x:c r="C36" s="6" t="str">
        <x:v>Structured revision intake patch</x:v>
      </x:c>
      <x:c r="D36" s="6" t="str">
        <x:v>As a user, I can request safe explicit dimension/material/layout changes and have Project Intake updated before regeneration.</x:v>
      </x:c>
      <x:c r="E36" s="6" t="str">
        <x:v>Width, depth, material, material thickness, shelf layout/count/spacing requests patch structured intake and do not create a plan version.</x:v>
      </x:c>
      <x:c r="F36" s="6" t="str">
        <x:v>app/projects/[id]/revise/route.ts; lib/projects/project-intake-revision.ts</x:v>
      </x:c>
      <x:c r="G36" s="6" t="str">
        <x:v>Unparseable structured request, stale archive during update, clarification status after patch.</x:v>
      </x:c>
      <x:c r="H36" s="6" t="str">
        <x:v>tweak-plan-route.test.ts; project-intake-revision.test.ts</x:v>
      </x:c>
      <x:c r="I36" s="6" t="str">
        <x:v>Ready</x:v>
      </x:c>
      <x:c r="J36" s="6" t="str">
        <x:v>Pass</x:v>
      </x:c>
      <x:c r="K36" s="6" t="str"/>
      <x:c r="L36" s="6" t="str">
        <x:v>No fix needed</x:v>
      </x:c>
      <x:c r="M36" s="6" t="str">
        <x:v>Pass</x:v>
      </x:c>
      <x:c r="N36" s="6" t="str">
        <x:v>2026-06-24</x:v>
      </x:c>
    </x:row>
    <x:row r="37">
      <x:c r="A37" s="6" t="str">
        <x:v>BS-US-036</x:v>
      </x:c>
      <x:c r="B37" s="6" t="str">
        <x:v>Revision</x:v>
      </x:c>
      <x:c r="C37" s="6" t="str">
        <x:v>Blocked revision categories</x:v>
      </x:c>
      <x:c r="D37" s="6" t="str">
        <x:v>As a user, I am redirected away from unsafe or ambiguous revision requests instead of getting an untrustworthy plan.</x:v>
      </x:c>
      <x:c r="E37" s="6" t="str">
        <x:v>Support/mounting approvals, cut-list requests, safety-sensitive, ambiguous, unsupported, and mixed unsafe requests are blocked or redirected with category labels.</x:v>
      </x:c>
      <x:c r="F37" s="6" t="str">
        <x:v>lib/plans/revision-intent.ts; app/projects/[id]/revise/route.ts</x:v>
      </x:c>
      <x:c r="G37" s="6" t="str">
        <x:v>Mixed safety and structured, vague structural changes, support claims.</x:v>
      </x:c>
      <x:c r="H37" s="6" t="str">
        <x:v>revision-intent.test.ts; tweak-plan-route.test.ts</x:v>
      </x:c>
      <x:c r="I37" s="6" t="str">
        <x:v>Ready</x:v>
      </x:c>
      <x:c r="J37" s="6" t="str">
        <x:v>Pass</x:v>
      </x:c>
      <x:c r="K37" s="6" t="str"/>
      <x:c r="L37" s="6" t="str">
        <x:v>No fix needed</x:v>
      </x:c>
      <x:c r="M37" s="6" t="str">
        <x:v>Pass</x:v>
      </x:c>
      <x:c r="N37" s="6" t="str">
        <x:v>2026-06-24</x:v>
      </x:c>
    </x:row>
    <x:row r="38">
      <x:c r="A38" s="6" t="str">
        <x:v>BS-US-037</x:v>
      </x:c>
      <x:c r="B38" s="6" t="str">
        <x:v>Project Record</x:v>
      </x:c>
      <x:c r="C38" s="6" t="str">
        <x:v>Project notes</x:v>
      </x:c>
      <x:c r="D38" s="6" t="str">
        <x:v>As a user, I can save private notes on a project without affecting generated plans.</x:v>
      </x:c>
      <x:c r="E38" s="6" t="str">
        <x:v>Notes route saves plain text up to schema limit, redirects with success, blocks archived/stale archived writes.</x:v>
      </x:c>
      <x:c r="F38" s="6" t="str">
        <x:v>app/projects/[id]/notes/route.ts; lib/storage/project-store.ts</x:v>
      </x:c>
      <x:c r="G38" s="6" t="str">
        <x:v>Missing project, archived, stale archived no-op, storage failure.</x:v>
      </x:c>
      <x:c r="H38" s="6" t="str">
        <x:v>project-notes-route.test.ts; project-store.test.ts</x:v>
      </x:c>
      <x:c r="I38" s="6" t="str">
        <x:v>Ready</x:v>
      </x:c>
      <x:c r="J38" s="6" t="str">
        <x:v>Pass</x:v>
      </x:c>
      <x:c r="K38" s="6" t="str"/>
      <x:c r="L38" s="6" t="str">
        <x:v>No fix needed</x:v>
      </x:c>
      <x:c r="M38" s="6" t="str">
        <x:v>Pass</x:v>
      </x:c>
      <x:c r="N38" s="6" t="str">
        <x:v>2026-06-24</x:v>
      </x:c>
    </x:row>
    <x:row r="39">
      <x:c r="A39" s="6" t="str">
        <x:v>BS-US-038</x:v>
      </x:c>
      <x:c r="B39" s="6" t="str">
        <x:v>Project Record</x:v>
      </x:c>
      <x:c r="C39" s="6" t="str">
        <x:v>Build log</x:v>
      </x:c>
      <x:c r="D39" s="6" t="str">
        <x:v>As a user, I can record completion, actual material, changes, and lessons learned.</x:v>
      </x:c>
      <x:c r="E39" s="6" t="str">
        <x:v>Build-log route parses checkbox/date/text fields, updates project record, redirects with success, and blocks archived writes.</x:v>
      </x:c>
      <x:c r="F39" s="6" t="str">
        <x:v>app/projects/[id]/build-log/route.ts; lib/projects/types.ts; lib/storage/project-store.ts</x:v>
      </x:c>
      <x:c r="G39" s="6" t="str">
        <x:v>Blank date, completed true/false, archived, schema bounds.</x:v>
      </x:c>
      <x:c r="H39" s="6" t="str">
        <x:v>project-build-log-route.test.ts; project-store.test.ts</x:v>
      </x:c>
      <x:c r="I39" s="6" t="str">
        <x:v>Ready</x:v>
      </x:c>
      <x:c r="J39" s="6" t="str">
        <x:v>Pass</x:v>
      </x:c>
      <x:c r="K39" s="6" t="str"/>
      <x:c r="L39" s="6" t="str">
        <x:v>No fix needed</x:v>
      </x:c>
      <x:c r="M39" s="6" t="str">
        <x:v>Pass</x:v>
      </x:c>
      <x:c r="N39" s="6" t="str">
        <x:v>2026-06-24</x:v>
      </x:c>
    </x:row>
    <x:row r="40">
      <x:c r="A40" s="6" t="str">
        <x:v>BS-US-039</x:v>
      </x:c>
      <x:c r="B40" s="6" t="str">
        <x:v>Project Lifecycle</x:v>
      </x:c>
      <x:c r="C40" s="6" t="str">
        <x:v>Duplicate project</x:v>
      </x:c>
      <x:c r="D40" s="6" t="str">
        <x:v>As a user, I can duplicate a project setup without copying generated plan history.</x:v>
      </x:c>
      <x:c r="E40" s="6" t="str">
        <x:v>Duplicate route copies intake as a fresh draft, preserves no generated plans/history, blocks archived sources, redirects to the duplicate detail.</x:v>
      </x:c>
      <x:c r="F40" s="6" t="str">
        <x:v>app/projects/[id]/duplicate/route.ts; lib/storage/project-store.ts</x:v>
      </x:c>
      <x:c r="G40" s="6" t="str">
        <x:v>Source missing, archived/stale archived, Supabase duplicate fields.</x:v>
      </x:c>
      <x:c r="H40" s="6" t="str">
        <x:v>duplicate-project-route.test.ts; project-store.test.ts; project-store-duplicate-supabase.test.ts</x:v>
      </x:c>
      <x:c r="I40" s="6" t="str">
        <x:v>Ready</x:v>
      </x:c>
      <x:c r="J40" s="6" t="str">
        <x:v>Pass</x:v>
      </x:c>
      <x:c r="K40" s="6" t="str"/>
      <x:c r="L40" s="6" t="str">
        <x:v>No fix needed</x:v>
      </x:c>
      <x:c r="M40" s="6" t="str">
        <x:v>Pass</x:v>
      </x:c>
      <x:c r="N40" s="6" t="str">
        <x:v>2026-06-24</x:v>
      </x:c>
    </x:row>
    <x:row r="41">
      <x:c r="A41" s="6" t="str">
        <x:v>BS-US-040</x:v>
      </x:c>
      <x:c r="B41" s="6" t="str">
        <x:v>Project Lifecycle</x:v>
      </x:c>
      <x:c r="C41" s="6" t="str">
        <x:v>Archive project</x:v>
      </x:c>
      <x:c r="D41" s="6" t="str">
        <x:v>As a user, I can hide inactive projects without deleting their data or plans.</x:v>
      </x:c>
      <x:c r="E41" s="6" t="str">
        <x:v>Archive sets archived_at, hides from active list/dashboard, preserves generated plans/records, blocks repeat archive, and revalidates routes.</x:v>
      </x:c>
      <x:c r="F41" s="6" t="str">
        <x:v>app/projects/[id]/archive/route.ts; lib/projects/project-planning-lifecycle.ts; lib/storage/project-store.ts</x:v>
      </x:c>
      <x:c r="G41" s="6" t="str">
        <x:v>List vs detail return_to, already archived, missing project, storage failure.</x:v>
      </x:c>
      <x:c r="H41" s="6" t="str">
        <x:v>project-archive-route.test.ts; project-planning-lifecycle.test.ts; project-store.test.ts</x:v>
      </x:c>
      <x:c r="I41" s="6" t="str">
        <x:v>Ready</x:v>
      </x:c>
      <x:c r="J41" s="6" t="str">
        <x:v>Pass</x:v>
      </x:c>
      <x:c r="K41" s="6" t="str"/>
      <x:c r="L41" s="6" t="str">
        <x:v>No fix needed</x:v>
      </x:c>
      <x:c r="M41" s="6" t="str">
        <x:v>Pass</x:v>
      </x:c>
      <x:c r="N41" s="6" t="str">
        <x:v>2026-06-24</x:v>
      </x:c>
    </x:row>
    <x:row r="42">
      <x:c r="A42" s="6" t="str">
        <x:v>BS-US-041</x:v>
      </x:c>
      <x:c r="B42" s="6" t="str">
        <x:v>Project Lifecycle</x:v>
      </x:c>
      <x:c r="C42" s="6" t="str">
        <x:v>Restore project</x:v>
      </x:c>
      <x:c r="D42" s="6" t="str">
        <x:v>As a user, I can return an archived project to the active workspace.</x:v>
      </x:c>
      <x:c r="E42" s="6" t="str">
        <x:v>Restore clears archived_at, returns to active list/detail based on return_to, blocks restore on active projects.</x:v>
      </x:c>
      <x:c r="F42" s="6" t="str">
        <x:v>app/projects/[id]/restore/route.ts; lib/projects/project-planning-lifecycle.ts; lib/storage/project-store.ts</x:v>
      </x:c>
      <x:c r="G42" s="6" t="str">
        <x:v>Archived-list return, active project, missing project, stale no-op.</x:v>
      </x:c>
      <x:c r="H42" s="6" t="str">
        <x:v>project-archive-route.test.ts; project-planning-lifecycle.test.ts; project-store.test.ts</x:v>
      </x:c>
      <x:c r="I42" s="6" t="str">
        <x:v>Ready</x:v>
      </x:c>
      <x:c r="J42" s="6" t="str">
        <x:v>Pass</x:v>
      </x:c>
      <x:c r="K42" s="6" t="str"/>
      <x:c r="L42" s="6" t="str">
        <x:v>No fix needed</x:v>
      </x:c>
      <x:c r="M42" s="6" t="str">
        <x:v>Pass</x:v>
      </x:c>
      <x:c r="N42" s="6" t="str">
        <x:v>2026-06-24</x:v>
      </x:c>
    </x:row>
    <x:row r="43">
      <x:c r="A43" s="6" t="str">
        <x:v>BS-US-042</x:v>
      </x:c>
      <x:c r="B43" s="6" t="str">
        <x:v>Project Lifecycle</x:v>
      </x:c>
      <x:c r="C43" s="6" t="str">
        <x:v>Archived read-only state</x:v>
      </x:c>
      <x:c r="D43" s="6" t="str">
        <x:v>As a user, I can review archived project data but cannot generate, revise, duplicate, save notes, save build log, or update shelf layout until restored.</x:v>
      </x:c>
      <x:c r="E43" s="6" t="str">
        <x:v>Lifecycle gates project write/revision/generation/archive/restore commands and detail UI shows read-only archived project actions.</x:v>
      </x:c>
      <x:c r="F43" s="6" t="str">
        <x:v>lib/projects/project-planning-lifecycle.ts; app/projects/[id]/page.tsx</x:v>
      </x:c>
      <x:c r="G43" s="6" t="str">
        <x:v>Existing print remains available, stale writes after archive, restore re-enables writes.</x:v>
      </x:c>
      <x:c r="H43" s="6" t="str">
        <x:v>project-planning-lifecycle.test.ts; notes/build-log/shelf-layout/duplicate/generate/tweak route tests</x:v>
      </x:c>
      <x:c r="I43" s="6" t="str">
        <x:v>Ready</x:v>
      </x:c>
      <x:c r="J43" s="6" t="str">
        <x:v>Pass</x:v>
      </x:c>
      <x:c r="K43" s="6" t="str"/>
      <x:c r="L43" s="6" t="str">
        <x:v>No fix needed</x:v>
      </x:c>
      <x:c r="M43" s="6" t="str">
        <x:v>Pass</x:v>
      </x:c>
      <x:c r="N43" s="6" t="str">
        <x:v>2026-06-24</x:v>
      </x:c>
    </x:row>
    <x:row r="44">
      <x:c r="A44" s="6" t="str">
        <x:v>BS-US-043</x:v>
      </x:c>
      <x:c r="B44" s="6" t="str">
        <x:v>Print</x:v>
      </x:c>
      <x:c r="C44" s="6" t="str">
        <x:v>Print route empty state</x:v>
      </x:c>
      <x:c r="D44" s="6" t="str">
        <x:v>As a user, I cannot print a build sheet before a generated plan exists.</x:v>
      </x:c>
      <x:c r="E44" s="6" t="str">
        <x:v>Print route loads latest plan snapshot; if no generated plan, it renders an empty state with back link and generation reminder.</x:v>
      </x:c>
      <x:c r="F44" s="6" t="str">
        <x:v>app/projects/[id]/print/page.tsx</x:v>
      </x:c>
      <x:c r="G44" s="6" t="str">
        <x:v>Missing project, no plan, derived no-plan manifest.</x:v>
      </x:c>
      <x:c r="H44" s="6" t="str">
        <x:v>print-preview-page.test.ts</x:v>
      </x:c>
      <x:c r="I44" s="6" t="str">
        <x:v>Ready</x:v>
      </x:c>
      <x:c r="J44" s="6" t="str">
        <x:v>Pass</x:v>
      </x:c>
      <x:c r="K44" s="6" t="str"/>
      <x:c r="L44" s="6" t="str">
        <x:v>No fix needed</x:v>
      </x:c>
      <x:c r="M44" s="6" t="str">
        <x:v>Pass</x:v>
      </x:c>
      <x:c r="N44" s="6" t="str">
        <x:v>2026-06-24</x:v>
      </x:c>
    </x:row>
    <x:row r="45">
      <x:c r="A45" s="6" t="str">
        <x:v>BS-US-044</x:v>
      </x:c>
      <x:c r="B45" s="6" t="str">
        <x:v>Print</x:v>
      </x:c>
      <x:c r="C45" s="6" t="str">
        <x:v>Browser print packet</x:v>
      </x:c>
      <x:c r="D45" s="6" t="str">
        <x:v>As a user, I can open a clean browser-print build sheet from the same structured manifest as detail.</x:v>
      </x:c>
      <x:c r="E45" s="6" t="str">
        <x:v>Print route includes packet sections, print button, no-print controls, shop notes on print, and explicit no PDF/CAD/CNC/export/download copy.</x:v>
      </x:c>
      <x:c r="F45" s="6" t="str">
        <x:v>app/projects/[id]/print/page.tsx; app/projects/[id]/print/PrintDialogButton.tsx</x:v>
      </x:c>
      <x:c r="G45" s="6" t="str">
        <x:v>window.print behavior, mobile table, section order, archived existing plans.</x:v>
      </x:c>
      <x:c r="H45" s="6" t="str">
        <x:v>print-preview-page.test.ts; printable-plan-manifest.test.ts; e2e/packet-smoke.spec.ts</x:v>
      </x:c>
      <x:c r="I45" s="6" t="str">
        <x:v>Ready</x:v>
      </x:c>
      <x:c r="J45" s="6" t="str">
        <x:v>Pass</x:v>
      </x:c>
      <x:c r="K45" s="6" t="str"/>
      <x:c r="L45" s="6" t="str">
        <x:v>No fix needed</x:v>
      </x:c>
      <x:c r="M45" s="6" t="str">
        <x:v>Pass</x:v>
      </x:c>
      <x:c r="N45" s="6" t="str">
        <x:v>2026-06-24</x:v>
      </x:c>
    </x:row>
    <x:row r="46">
      <x:c r="A46" s="6" t="str">
        <x:v>BS-US-045</x:v>
      </x:c>
      <x:c r="B46" s="6" t="str">
        <x:v>Templates</x:v>
      </x:c>
      <x:c r="C46" s="6" t="str">
        <x:v>Supported project types</x:v>
      </x:c>
      <x:c r="D46" s="6" t="str">
        <x:v>As a user, I can choose door hanger, layered cutout, wood sign, wall shelf, or planter box templates.</x:v>
      </x:c>
      <x:c r="E46" s="6" t="str">
        <x:v>Each declared project type has labels, template hints, and a supported build-model drafting adapter; unsupported types are rejected.</x:v>
      </x:c>
      <x:c r="F46" s="6" t="str">
        <x:v>lib/projects/types.ts; lib/templates/template-hints.ts; lib/build-model/supported-project-type-drafting.ts</x:v>
      </x:c>
      <x:c r="G46" s="6" t="str">
        <x:v>Adapter coverage drift, unsupported type rejection.</x:v>
      </x:c>
      <x:c r="H46" s="6" t="str">
        <x:v>create-build-model-draft.test.ts; template hint tests via generation prompt</x:v>
      </x:c>
      <x:c r="I46" s="6" t="str">
        <x:v>Ready</x:v>
      </x:c>
      <x:c r="J46" s="6" t="str">
        <x:v>Pass</x:v>
      </x:c>
      <x:c r="K46" s="6" t="str"/>
      <x:c r="L46" s="6" t="str">
        <x:v>No fix needed</x:v>
      </x:c>
      <x:c r="M46" s="6" t="str">
        <x:v>Pass</x:v>
      </x:c>
      <x:c r="N46" s="6" t="str">
        <x:v>2026-06-24</x:v>
      </x:c>
    </x:row>
    <x:row r="47">
      <x:c r="A47" s="6" t="str">
        <x:v>BS-US-046</x:v>
      </x:c>
      <x:c r="B47" s="6" t="str">
        <x:v>Templates</x:v>
      </x:c>
      <x:c r="C47" s="6" t="str">
        <x:v>Wall shelf single-shelf golden path</x:v>
      </x:c>
      <x:c r="D47" s="6" t="str">
        <x:v>As a shelf builder, I get a coherent single-shelf packet with consistent part labels, visuals, buying plan, cut layout, readiness, and build guide.</x:v>
      </x:c>
      <x:c r="E47" s="6" t="str">
        <x:v>Wall-shelf typed view models assign deterministic Part A, safe hardware placeholders, store-trip minimums, diagram/cut/buying/readiness/build-guide sections.</x:v>
      </x:c>
      <x:c r="F47" s="6" t="str">
        <x:v>lib/plans/wall-shelf-*; app/projects/[id]/WallShelf*.tsx</x:v>
      </x:c>
      <x:c r="G47" s="6" t="str">
        <x:v>Missing support details, selected visible brackets, print-safe labels.</x:v>
      </x:c>
      <x:c r="H47" s="6" t="str">
        <x:v>wall-shelf-* tests; e2e/packet-smoke.spec.ts</x:v>
      </x:c>
      <x:c r="I47" s="6" t="str">
        <x:v>Ready</x:v>
      </x:c>
      <x:c r="J47" s="6" t="str">
        <x:v>Pass</x:v>
      </x:c>
      <x:c r="K47" s="6" t="str"/>
      <x:c r="L47" s="6" t="str">
        <x:v>No fix needed</x:v>
      </x:c>
      <x:c r="M47" s="6" t="str">
        <x:v>Pass</x:v>
      </x:c>
      <x:c r="N47" s="6" t="str">
        <x:v>2026-06-24</x:v>
      </x:c>
    </x:row>
    <x:row r="48">
      <x:c r="A48" s="6" t="str">
        <x:v>BS-US-047</x:v>
      </x:c>
      <x:c r="B48" s="6" t="str">
        <x:v>Templates</x:v>
      </x:c>
      <x:c r="C48" s="6" t="str">
        <x:v>Wall shelf separate shelves</x:v>
      </x:c>
      <x:c r="D48" s="6" t="str">
        <x:v>As a user planning multiple separate shelves, I see repeated assemblies rather than an invented connected unit.</x:v>
      </x:c>
      <x:c r="E48" s="6" t="str">
        <x:v>Separate-shelf layout scales shelf boards/support placeholders by count and does not use connected-unit copy.</x:v>
      </x:c>
      <x:c r="F48" s="6" t="str">
        <x:v>lib/diagrams/wall-shelf-diagram-model.ts; lib/plans/wall-shelf-*</x:v>
      </x:c>
      <x:c r="G48" s="6" t="str">
        <x:v>Multiple separate shelves, support count, impossible-height false positives.</x:v>
      </x:c>
      <x:c r="H48" s="6" t="str">
        <x:v>wall-shelf-diagrams-render.test.ts; create-build-model-draft.test.ts; e2e/packet-smoke.spec.ts</x:v>
      </x:c>
      <x:c r="I48" s="6" t="str">
        <x:v>Ready</x:v>
      </x:c>
      <x:c r="J48" s="6" t="str">
        <x:v>Pass</x:v>
      </x:c>
      <x:c r="K48" s="6" t="str"/>
      <x:c r="L48" s="6" t="str">
        <x:v>No fix needed</x:v>
      </x:c>
      <x:c r="M48" s="6" t="str">
        <x:v>Pass</x:v>
      </x:c>
      <x:c r="N48" s="6" t="str">
        <x:v>2026-06-24</x:v>
      </x:c>
    </x:row>
    <x:row r="49">
      <x:c r="A49" s="6" t="str">
        <x:v>BS-US-048</x:v>
      </x:c>
      <x:c r="B49" s="6" t="str">
        <x:v>Templates</x:v>
      </x:c>
      <x:c r="C49" s="6" t="str">
        <x:v>Wall shelf connected unit review</x:v>
      </x:c>
      <x:c r="D49" s="6" t="str">
        <x:v>As a user planning a connected shelf unit, I see support/frame review until side supports or frame pieces are modeled.</x:v>
      </x:c>
      <x:c r="E49" s="6" t="str">
        <x:v>Connected units without modeled supports render needs_review, avoid freestanding assembly instructions, and do not assign invented support part labels.</x:v>
      </x:c>
      <x:c r="F49" s="6" t="str">
        <x:v>lib/plans/wall-shelf-*; lib/projects/shelf-layout-validation.ts</x:v>
      </x:c>
      <x:c r="G49" s="6" t="str">
        <x:v>Unresolved support/frame, modeled support pieces present, print-safe copy.</x:v>
      </x:c>
      <x:c r="H49" s="6" t="str">
        <x:v>wall-shelf-* tests; e2e/packet-smoke.spec.ts</x:v>
      </x:c>
      <x:c r="I49" s="6" t="str">
        <x:v>Ready</x:v>
      </x:c>
      <x:c r="J49" s="6" t="str">
        <x:v>Pass</x:v>
      </x:c>
      <x:c r="K49" s="6" t="str"/>
      <x:c r="L49" s="6" t="str">
        <x:v>No fix needed</x:v>
      </x:c>
      <x:c r="M49" s="6" t="str">
        <x:v>Pass</x:v>
      </x:c>
      <x:c r="N49" s="6" t="str">
        <x:v>2026-06-24</x:v>
      </x:c>
    </x:row>
    <x:row r="50">
      <x:c r="A50" s="6" t="str">
        <x:v>BS-US-049</x:v>
      </x:c>
      <x:c r="B50" s="6" t="str">
        <x:v>Templates</x:v>
      </x:c>
      <x:c r="C50" s="6" t="str">
        <x:v>Wall shelf invalid height protection</x:v>
      </x:c>
      <x:c r="D50" s="6" t="str">
        <x:v>As a user, I am blocked or shown review state when a connected shelf unit cannot physically fit the requested count and board thickness.</x:v>
      </x:c>
      <x:c r="E50" s="6" t="str">
        <x:v>Impossible height is flagged before generation and in view models; trusted complete diagrams/build guide are not rendered for invalid height.</x:v>
      </x:c>
      <x:c r="F50" s="6" t="str">
        <x:v>lib/projects/shelf-layout-validation.ts; lib/plans/wall-shelf-*</x:v>
      </x:c>
      <x:c r="G50" s="6" t="str">
        <x:v>Separate shelves excluded, stale invalid plans, missing count.</x:v>
      </x:c>
      <x:c r="H50" s="6" t="str">
        <x:v>safety-review.test.ts; generate-route-feedback.test.ts; wall-shelf-* tests</x:v>
      </x:c>
      <x:c r="I50" s="6" t="str">
        <x:v>Ready</x:v>
      </x:c>
      <x:c r="J50" s="6" t="str">
        <x:v>Pass</x:v>
      </x:c>
      <x:c r="K50" s="6" t="str"/>
      <x:c r="L50" s="6" t="str">
        <x:v>No fix needed</x:v>
      </x:c>
      <x:c r="M50" s="6" t="str">
        <x:v>Pass</x:v>
      </x:c>
      <x:c r="N50" s="6" t="str">
        <x:v>2026-06-24</x:v>
      </x:c>
    </x:row>
    <x:row r="51">
      <x:c r="A51" s="6" t="str">
        <x:v>BS-US-050</x:v>
      </x:c>
      <x:c r="B51" s="6" t="str">
        <x:v>Templates</x:v>
      </x:c>
      <x:c r="C51" s="6" t="str">
        <x:v>Wall shelf support and buying guidance</x:v>
      </x:c>
      <x:c r="D51" s="6" t="str">
        <x:v>As a user, I get board-count, stock-length, bracket/support-count, fastener, wall, and finish review guidance without exact purchase claims.</x:v>
      </x:c>
      <x:c r="E51" s="6" t="str">
        <x:v>Buying plan shows store-trip minimum, selected mounting method, intake/model support counts, exact retail stock caveat, and no vendors/prices.</x:v>
      </x:c>
      <x:c r="F51" s="6" t="str">
        <x:v>lib/plans/wall-shelf-stock-board-view-model.ts; app/projects/[id]/WallShelfBuyingPlan.tsx</x:v>
      </x:c>
      <x:c r="G51" s="6" t="str">
        <x:v>Visible L brackets, hidden brackets, not sure, heavy loads, humidity.</x:v>
      </x:c>
      <x:c r="H51" s="6" t="str">
        <x:v>wall-shelf-stock-board-view-model.test.ts; e2e/packet-smoke.spec.ts</x:v>
      </x:c>
      <x:c r="I51" s="6" t="str">
        <x:v>Ready</x:v>
      </x:c>
      <x:c r="J51" s="6" t="str">
        <x:v>Pass</x:v>
      </x:c>
      <x:c r="K51" s="6" t="str"/>
      <x:c r="L51" s="6" t="str">
        <x:v>No fix needed</x:v>
      </x:c>
      <x:c r="M51" s="6" t="str">
        <x:v>Pass</x:v>
      </x:c>
      <x:c r="N51" s="6" t="str">
        <x:v>2026-06-24</x:v>
      </x:c>
    </x:row>
    <x:row r="52">
      <x:c r="A52" s="6" t="str">
        <x:v>BS-US-051</x:v>
      </x:c>
      <x:c r="B52" s="6" t="str">
        <x:v>Templates</x:v>
      </x:c>
      <x:c r="C52" s="6" t="str">
        <x:v>Planter box packet</x:v>
      </x:c>
      <x:c r="D52" s="6" t="str">
        <x:v>As a planter user, I get a review-first panel, drainage, liner, finish, stock/material, and connection planning packet.</x:v>
      </x:c>
      <x:c r="E52" s="6" t="str">
        <x:v>Planter typed packet has Part A-E panel identity, cut layout, buying plan, readiness actions, and Build Guide without overclaiming supports/raised frames.</x:v>
      </x:c>
      <x:c r="F52" s="6" t="str">
        <x:v>lib/plans/planter-box-*; app/projects/[id]/PlanterBox*.tsx</x:v>
      </x:c>
      <x:c r="G52" s="6" t="str">
        <x:v>Raised planter support ideas, outdoor exposure, drainage/liner/fasteners.</x:v>
      </x:c>
      <x:c r="H52" s="6" t="str">
        <x:v>planter-box-packet-view-models.test.ts; planter-box-part-schedule-view-model.test.ts; e2e/packet-smoke.spec.ts</x:v>
      </x:c>
      <x:c r="I52" s="6" t="str">
        <x:v>Ready</x:v>
      </x:c>
      <x:c r="J52" s="6" t="str">
        <x:v>Pass</x:v>
      </x:c>
      <x:c r="K52" s="6" t="str"/>
      <x:c r="L52" s="6" t="str">
        <x:v>No fix needed</x:v>
      </x:c>
      <x:c r="M52" s="6" t="str">
        <x:v>Pass</x:v>
      </x:c>
      <x:c r="N52" s="6" t="str">
        <x:v>2026-06-24</x:v>
      </x:c>
    </x:row>
    <x:row r="53">
      <x:c r="A53" s="6" t="str">
        <x:v>BS-US-052</x:v>
      </x:c>
      <x:c r="B53" s="6" t="str">
        <x:v>Safety</x:v>
      </x:c>
      <x:c r="C53" s="6" t="str">
        <x:v>Deterministic safety review</x:v>
      </x:c>
      <x:c r="D53" s="6" t="str">
        <x:v>As a user, I get conservative review flags for wall mounting, child/baby use, load, electrical, outdoor, missing dimensions, and material thickness.</x:v>
      </x:c>
      <x:c r="E53" s="6" t="str">
        <x:v>Safety flags are calculated deterministically before generation and stored with the project.</x:v>
      </x:c>
      <x:c r="F53" s="6" t="str">
        <x:v>lib/safety/safety-review.ts; lib/storage/project-store.ts</x:v>
      </x:c>
      <x:c r="G53" s="6" t="str">
        <x:v>Electrical exclusions, light-weight wording, wall shelves, toddler ledges, impossible shelf dimensions.</x:v>
      </x:c>
      <x:c r="H53" s="6" t="str">
        <x:v>safety-review.test.ts; project-store.test.ts</x:v>
      </x:c>
      <x:c r="I53" s="6" t="str">
        <x:v>Ready</x:v>
      </x:c>
      <x:c r="J53" s="6" t="str">
        <x:v>Pass</x:v>
      </x:c>
      <x:c r="K53" s="6" t="str"/>
      <x:c r="L53" s="6" t="str">
        <x:v>No fix needed</x:v>
      </x:c>
      <x:c r="M53" s="6" t="str">
        <x:v>Pass</x:v>
      </x:c>
      <x:c r="N53" s="6" t="str">
        <x:v>2026-06-24</x:v>
      </x:c>
    </x:row>
    <x:row r="54">
      <x:c r="A54" s="6" t="str">
        <x:v>BS-US-053</x:v>
      </x:c>
      <x:c r="B54" s="6" t="str">
        <x:v>Safety</x:v>
      </x:c>
      <x:c r="C54" s="6" t="str">
        <x:v>Unsupported and high-risk idea handling</x:v>
      </x:c>
      <x:c r="D54" s="6" t="str">
        <x:v>As a user, I get concept-only or blocked guidance for unsupported and high-risk projects instead of fake build packets.</x:v>
      </x:c>
      <x:c r="E54" s="6" t="str">
        <x:v>Clarification/natural-language logic blocks high-risk ideas and keeps unsupported woodworking-adjacent ideas concept-only or unsupported.</x:v>
      </x:c>
      <x:c r="F54" s="6" t="str">
        <x:v>lib/projects/natural-language-intake.ts; lib/projects/clarification-gate.ts; lib/projects/concept-brief.ts</x:v>
      </x:c>
      <x:c r="G54" s="6" t="str">
        <x:v>Bookcases/cabinets, unrelated ideas, ladders, seating, cribs, overhead storage.</x:v>
      </x:c>
      <x:c r="H54" s="6" t="str">
        <x:v>natural-language-intake.test.ts; clarification-gate.test.ts; concept-brief.test.ts</x:v>
      </x:c>
      <x:c r="I54" s="6" t="str">
        <x:v>Ready</x:v>
      </x:c>
      <x:c r="J54" s="6" t="str">
        <x:v>Pass</x:v>
      </x:c>
      <x:c r="K54" s="6" t="str"/>
      <x:c r="L54" s="6" t="str">
        <x:v>No fix needed</x:v>
      </x:c>
      <x:c r="M54" s="6" t="str">
        <x:v>Pass</x:v>
      </x:c>
      <x:c r="N54" s="6" t="str">
        <x:v>2026-06-24</x:v>
      </x:c>
    </x:row>
    <x:row r="55">
      <x:c r="A55" s="6" t="str">
        <x:v>BS-US-054</x:v>
      </x:c>
      <x:c r="B55" s="6" t="str">
        <x:v>Storage</x:v>
      </x:c>
      <x:c r="C55" s="6" t="str">
        <x:v>Local JSON persistence</x:v>
      </x:c>
      <x:c r="D55" s="6" t="str">
        <x:v>As a developer/private user, I can use local JSON storage when Supabase is not configured.</x:v>
      </x:c>
      <x:c r="E55" s="6" t="str">
        <x:v>Project store reads/writes .data/boardsmith.json or BOARDSMITH_DATA_FILE, sorts projects, preserves plans, and blocks stale archived writes.</x:v>
      </x:c>
      <x:c r="F55" s="6" t="str">
        <x:v>lib/storage/project-store.ts</x:v>
      </x:c>
      <x:c r="G55" s="6" t="str">
        <x:v>Missing file, duplicate, notes/build log, archive/restore, stale writes.</x:v>
      </x:c>
      <x:c r="H55" s="6" t="str">
        <x:v>project-store.test.ts</x:v>
      </x:c>
      <x:c r="I55" s="6" t="str">
        <x:v>Ready</x:v>
      </x:c>
      <x:c r="J55" s="6" t="str">
        <x:v>Pass</x:v>
      </x:c>
      <x:c r="K55" s="6" t="str"/>
      <x:c r="L55" s="6" t="str">
        <x:v>No fix needed</x:v>
      </x:c>
      <x:c r="M55" s="6" t="str">
        <x:v>Pass</x:v>
      </x:c>
      <x:c r="N55" s="6" t="str">
        <x:v>2026-06-24</x:v>
      </x:c>
    </x:row>
    <x:row r="56">
      <x:c r="A56" s="6" t="str">
        <x:v>BS-US-055</x:v>
      </x:c>
      <x:c r="B56" s="6" t="str">
        <x:v>Storage</x:v>
      </x:c>
      <x:c r="C56" s="6" t="str">
        <x:v>Supabase private MVP persistence</x:v>
      </x:c>
      <x:c r="D56" s="6" t="str">
        <x:v>As a hosted private MVP, Boardsmith can use server-only Supabase service-role persistence without public access.</x:v>
      </x:c>
      <x:c r="E56" s="6" t="str">
        <x:v>Supabase mode requires URL and service role key, migrations keep private grants, generated plan saves use atomic RPC/latest-plan behavior.</x:v>
      </x:c>
      <x:c r="F56" s="6" t="str">
        <x:v>lib/storage/project-store.ts; supabase/migrations</x:v>
      </x:c>
      <x:c r="G56" s="6" t="str">
        <x:v>Service-role required, anon reserved, latest-plan uniqueness, archived save guard, schema drift.</x:v>
      </x:c>
      <x:c r="H56" s="6" t="str">
        <x:v>supabase-config.test.ts; supabase-migrations.test.ts; project-store-supabase-rpc.test.ts; project-store-duplicate-supabase.test.ts</x:v>
      </x:c>
      <x:c r="I56" s="6" t="str">
        <x:v>Ready</x:v>
      </x:c>
      <x:c r="J56" s="6" t="str">
        <x:v>Pass</x:v>
      </x:c>
      <x:c r="K56" s="6" t="str"/>
      <x:c r="L56" s="6" t="str">
        <x:v>No fix needed</x:v>
      </x:c>
      <x:c r="M56" s="6" t="str">
        <x:v>Pass</x:v>
      </x:c>
      <x:c r="N56" s="6" t="str">
        <x:v>2026-06-24</x:v>
      </x:c>
    </x:row>
    <x:row r="57">
      <x:c r="A57" s="6" t="str">
        <x:v>BS-US-056</x:v>
      </x:c>
      <x:c r="B57" s="6" t="str">
        <x:v>Plan Data</x:v>
      </x:c>
      <x:c r="C57" s="6" t="str">
        <x:v>Generated plan schema validation</x:v>
      </x:c>
      <x:c r="D57" s="6" t="str">
        <x:v>As a user, only schema-valid generated JSON can be saved as a plan version.</x:v>
      </x:c>
      <x:c r="E57" s="6" t="str">
        <x:v>Generated plan parser validates dimensions, materials, cuts, steps, safety notes, assumptions, confidence, markdown, and plan metadata.</x:v>
      </x:c>
      <x:c r="F57" s="6" t="str">
        <x:v>lib/plans/plan-schema.ts; lib/ai/generate-project-plan.ts</x:v>
      </x:c>
      <x:c r="G57" s="6" t="str">
        <x:v>Invalid JSON, missing required safety notes, overlong/missing fields.</x:v>
      </x:c>
      <x:c r="H57" s="6" t="str">
        <x:v>plan-schema.test.ts; generate-project-plan.test.ts; generate-route-feedback.test.ts</x:v>
      </x:c>
      <x:c r="I57" s="6" t="str">
        <x:v>Ready</x:v>
      </x:c>
      <x:c r="J57" s="6" t="str">
        <x:v>Pass</x:v>
      </x:c>
      <x:c r="K57" s="6" t="str"/>
      <x:c r="L57" s="6" t="str">
        <x:v>No fix needed</x:v>
      </x:c>
      <x:c r="M57" s="6" t="str">
        <x:v>Pass</x:v>
      </x:c>
      <x:c r="N57" s="6" t="str">
        <x:v>2026-06-24</x:v>
      </x:c>
    </x:row>
    <x:row r="58">
      <x:c r="A58" s="6" t="str">
        <x:v>BS-US-057</x:v>
      </x:c>
      <x:c r="B58" s="6" t="str">
        <x:v>Plan Data</x:v>
      </x:c>
      <x:c r="C58" s="6" t="str">
        <x:v>Build Model validation</x:v>
      </x:c>
      <x:c r="D58" s="6" t="str">
        <x:v>As a user, structured build-model data stays internally consistent before it drives packet outputs.</x:v>
      </x:c>
      <x:c r="E58" s="6" t="str">
        <x:v>Build Model schema validates ids and semantics such as piece/hardware/operation references before strict parsing accepts it.</x:v>
      </x:c>
      <x:c r="F58" s="6" t="str">
        <x:v>lib/build-model/build-model-schema.ts; lib/build-model/create-build-model-draft.ts</x:v>
      </x:c>
      <x:c r="G58" s="6" t="str">
        <x:v>Missing referenced pieces/hardware, unstable ids, nullable dimensions.</x:v>
      </x:c>
      <x:c r="H58" s="6" t="str">
        <x:v>build-model-schema.test.ts; create-build-model-draft.test.ts</x:v>
      </x:c>
      <x:c r="I58" s="6" t="str">
        <x:v>Ready</x:v>
      </x:c>
      <x:c r="J58" s="6" t="str">
        <x:v>Pass</x:v>
      </x:c>
      <x:c r="K58" s="6" t="str"/>
      <x:c r="L58" s="6" t="str">
        <x:v>No fix needed</x:v>
      </x:c>
      <x:c r="M58" s="6" t="str">
        <x:v>Pass</x:v>
      </x:c>
      <x:c r="N58" s="6" t="str">
        <x:v>2026-06-24</x:v>
      </x:c>
    </x:row>
    <x:row r="59">
      <x:c r="A59" s="6" t="str">
        <x:v>BS-US-058</x:v>
      </x:c>
      <x:c r="B59" s="6" t="str">
        <x:v>Plan Data</x:v>
      </x:c>
      <x:c r="C59" s="6" t="str">
        <x:v>Deterministic plan quality checks</x:v>
      </x:c>
      <x:c r="D59" s="6" t="str">
        <x:v>As a user, plan output is rejected or warned when it conflicts with structured project/build-model truth.</x:v>
      </x:c>
      <x:c r="E59" s="6" t="str">
        <x:v>Quality checks validate project type, bounded dimensions, safety warnings, cut-list material/piece alignment, and overconfident safety claims.</x:v>
      </x:c>
      <x:c r="F59" s="6" t="str">
        <x:v>lib/plans/plan-quality.ts; app/projects/[id]/generate/route.ts</x:v>
      </x:c>
      <x:c r="G59" s="6" t="str">
        <x:v>Project-type mismatch, unbounded dimensions, missing required warnings, load-rated/certified copy.</x:v>
      </x:c>
      <x:c r="H59" s="6" t="str">
        <x:v>plan-quality.test.ts; generate-route-feedback.test.ts</x:v>
      </x:c>
      <x:c r="I59" s="6" t="str">
        <x:v>Ready</x:v>
      </x:c>
      <x:c r="J59" s="6" t="str">
        <x:v>Pass</x:v>
      </x:c>
      <x:c r="K59" s="6" t="str"/>
      <x:c r="L59" s="6" t="str">
        <x:v>No fix needed</x:v>
      </x:c>
      <x:c r="M59" s="6" t="str">
        <x:v>Pass</x:v>
      </x:c>
      <x:c r="N59" s="6" t="str">
        <x:v>2026-06-24</x:v>
      </x:c>
    </x:row>
    <x:row r="60">
      <x:c r="A60" s="6" t="str">
        <x:v>BS-US-059</x:v>
      </x:c>
      <x:c r="B60" s="6" t="str">
        <x:v>Plan Data</x:v>
      </x:c>
      <x:c r="C60" s="6" t="str">
        <x:v>Printable plan manifest</x:v>
      </x:c>
      <x:c r="D60" s="6" t="str">
        <x:v>As a user, detail and print views use the same structured manifest for packet content.</x:v>
      </x:c>
      <x:c r="E60" s="6" t="str">
        <x:v>Manifest gathers project, generated plan, build model, materials, cut list, review, diagrams, action checklist, and disclaimers.</x:v>
      </x:c>
      <x:c r="F60" s="6" t="str">
        <x:v>lib/plans/printable-plan-manifest.ts; app/projects/[id]/page.tsx; app/projects/[id]/print/page.tsx</x:v>
      </x:c>
      <x:c r="G60" s="6" t="str">
        <x:v>Older plans without build_model_json, no-plan snapshot, wall shelf/planter variants.</x:v>
      </x:c>
      <x:c r="H60" s="6" t="str">
        <x:v>printable-plan-manifest.test.ts; gated-build-packet-snapshot.test.ts; e2e/packet-smoke.spec.ts</x:v>
      </x:c>
      <x:c r="I60" s="6" t="str">
        <x:v>Ready</x:v>
      </x:c>
      <x:c r="J60" s="6" t="str">
        <x:v>Pass</x:v>
      </x:c>
      <x:c r="K60" s="6" t="str"/>
      <x:c r="L60" s="6" t="str">
        <x:v>No fix needed</x:v>
      </x:c>
      <x:c r="M60" s="6" t="str">
        <x:v>Pass</x:v>
      </x:c>
      <x:c r="N60" s="6" t="str">
        <x:v>2026-06-24</x:v>
      </x:c>
    </x:row>
    <x:row r="61">
      <x:c r="A61" s="6" t="str">
        <x:v>BS-US-060</x:v>
      </x:c>
      <x:c r="B61" s="6" t="str">
        <x:v>Hosted Smoke</x:v>
      </x:c>
      <x:c r="C61" s="6" t="str">
        <x:v>Hosted smoke script</x:v>
      </x:c>
      <x:c r="D61" s="6" t="str">
        <x:v>As a maintainer, I can run a no-dependency hosted route/content smoke check without leaking secrets.</x:v>
      </x:c>
      <x:c r="E61" s="6" t="str">
        <x:v>Smoke script supports Vercel bypass headers, optional storage-state cookie, expected text sentinel, redacts secrets, and fails clearly for login blockers.</x:v>
      </x:c>
      <x:c r="F61" s="6" t="str">
        <x:v>scripts/hosted-smoke-check.mjs</x:v>
      </x:c>
      <x:c r="G61" s="6" t="str">
        <x:v>Missing bypass secret, missing storage state, login redirect, expected text missing.</x:v>
      </x:c>
      <x:c r="H61" s="6" t="str">
        <x:v>hosted-smoke-check-script.test.ts</x:v>
      </x:c>
      <x:c r="I61" s="6" t="str">
        <x:v>Ready</x:v>
      </x:c>
      <x:c r="J61" s="6" t="str">
        <x:v>Pass</x:v>
      </x:c>
      <x:c r="K61" s="6" t="str"/>
      <x:c r="L61" s="6" t="str">
        <x:v>No fix needed</x:v>
      </x:c>
      <x:c r="M61" s="6" t="str">
        <x:v>Pass</x:v>
      </x:c>
      <x:c r="N61" s="6" t="str">
        <x:v>2026-06-24</x:v>
      </x:c>
    </x:row>
    <x:row r="62">
      <x:c r="A62" s="6" t="str">
        <x:v>BS-US-061</x:v>
      </x:c>
      <x:c r="B62" s="6" t="str">
        <x:v>Errors</x:v>
      </x:c>
      <x:c r="C62" s="6" t="str">
        <x:v>Detail error mapping</x:v>
      </x:c>
      <x:c r="D62" s="6" t="str">
        <x:v>As a user, I see stable non-technical errors for project detail route failures.</x:v>
      </x:c>
      <x:c r="E62" s="6" t="str">
        <x:v>Known detail error codes render friendly panels without raw exceptions.</x:v>
      </x:c>
      <x:c r="F62" s="6" t="str">
        <x:v>lib/projects/project-detail-errors.ts; app/projects/[id]/page.tsx</x:v>
      </x:c>
      <x:c r="G62" s="6" t="str">
        <x:v>Notes/build-log/shelf-layout/generation/archive/duplicate failures, schema missing.</x:v>
      </x:c>
      <x:c r="H62" s="6" t="str">
        <x:v>project-detail-errors.test.ts; route tests</x:v>
      </x:c>
      <x:c r="I62" s="6" t="str">
        <x:v>Ready</x:v>
      </x:c>
      <x:c r="J62" s="6" t="str">
        <x:v>Pass</x:v>
      </x:c>
      <x:c r="K62" s="6" t="str"/>
      <x:c r="L62" s="6" t="str">
        <x:v>No fix needed</x:v>
      </x:c>
      <x:c r="M62" s="6" t="str">
        <x:v>Pass</x:v>
      </x:c>
      <x:c r="N62" s="6" t="str">
        <x:v>2026-06-24</x:v>
      </x:c>
    </x:row>
    <x:row r="63">
      <x:c r="A63" s="7" t="str">
        <x:v>BS-US-062</x:v>
      </x:c>
      <x:c r="B63" s="7" t="str">
        <x:v>Security</x:v>
      </x:c>
      <x:c r="C63" s="7" t="str">
        <x:v>No forbidden product surfaces</x:v>
      </x:c>
      <x:c r="D63" s="7" t="str">
        <x:v>As the owner, I do not see public sharing, marketplace, payments, vendor purchasing, CAD, CNC, PDF export, or load-certification features appear accidentally.</x:v>
      </x:c>
      <x:c r="E63" s="7" t="str">
        <x:v>Docs and UI keep deferred surfaces explicit and avoid CTA/functionality for forbidden features unless explicitly approved.</x:v>
      </x:c>
      <x:c r="F63" s="7" t="str">
        <x:v>AGENTS.md; docs/ARCHITECTURE.md; docs/VISION.md; app pages</x:v>
      </x:c>
      <x:c r="G63" s="7" t="str">
        <x:v>Copy drift, generated plan copy, print route copy, e2e body text.</x:v>
      </x:c>
      <x:c r="H63" s="7" t="str">
        <x:v>dashboard-page.test.ts; e2e/packet-smoke.spec.ts; plan-quality.test.ts</x:v>
      </x:c>
      <x:c r="I63" s="7" t="str">
        <x:v>Ready</x:v>
      </x:c>
      <x:c r="J63" s="7" t="str">
        <x:v>Pass</x:v>
      </x:c>
      <x:c r="K63" s="7" t="str"/>
      <x:c r="L63" s="7" t="str">
        <x:v>No fix needed</x:v>
      </x:c>
      <x:c r="M63" s="7" t="str">
        <x:v>Pass</x:v>
      </x:c>
      <x:c r="N63" s="7" t="str">
        <x:v>2026-06-24</x:v>
      </x:c>
    </x:row>
  </x:sheetData>
  <x:dataValidations count="4">
    <x:dataValidation type="list" sqref="I2:I63">
      <x:formula1>"Inventoried,In Progress,Blocked,Ready,Fixed"</x:formula1>
    </x:dataValidation>
    <x:dataValidation type="list" sqref="J2:J63">
      <x:formula1>"Pending,Pass,Fail,Blocked,Covered by automated tests"</x:formula1>
    </x:dataValidation>
    <x:dataValidation type="list" sqref="L2:L63">
      <x:formula1>"Not started,No fix needed,In progress,Fixed,Blocked"</x:formula1>
    </x:dataValidation>
    <x:dataValidation type="list" sqref="M2:M63">
      <x:formula1>"Pending,Pass,Fail,Blocked"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f049c62ce04b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16" hidden="0" customWidth="1"/>
    <x:col min="5" max="5" width="48" hidden="0" customWidth="1"/>
    <x:col min="6" max="6" width="48" hidden="0" customWidth="1"/>
    <x:col min="7" max="7" width="14" hidden="0" customWidth="1"/>
  </x:cols>
  <x:sheetData>
    <x:row r="1">
      <x:c r="A1" s="9" t="str">
        <x:v>ID</x:v>
      </x:c>
      <x:c r="B1" s="9" t="str">
        <x:v>Pass</x:v>
      </x:c>
      <x:c r="C1" s="9" t="str">
        <x:v>Command Or Scenario</x:v>
      </x:c>
      <x:c r="D1" s="9" t="str">
        <x:v>Status</x:v>
      </x:c>
      <x:c r="E1" s="9" t="str">
        <x:v>Errors Found</x:v>
      </x:c>
      <x:c r="F1" s="9" t="str">
        <x:v>Evidence / Notes</x:v>
      </x:c>
      <x:c r="G1" s="9" t="str">
        <x:v>Last Updated</x:v>
      </x:c>
    </x:row>
    <x:row r="2">
      <x:c r="A2" s="4" t="str">
        <x:v>TL-001</x:v>
      </x:c>
      <x:c r="B2" s="4" t="str">
        <x:v>Baseline verification</x:v>
      </x:c>
      <x:c r="C2" s="4" t="str">
        <x:v>npm test</x:v>
      </x:c>
      <x:c r="D2" s="4" t="str">
        <x:v>Pass</x:v>
      </x:c>
      <x:c r="E2" s="4" t="str"/>
      <x:c r="F2" s="4" t="str">
        <x:v>62 Vitest files passed, 464 tests passed.</x:v>
      </x:c>
      <x:c r="G2" s="4" t="str">
        <x:v>2026-06-24</x:v>
      </x:c>
    </x:row>
    <x:row r="3">
      <x:c r="A3" s="4" t="str">
        <x:v>TL-002</x:v>
      </x:c>
      <x:c r="B3" s="4" t="str">
        <x:v>Baseline verification</x:v>
      </x:c>
      <x:c r="C3" s="4" t="str">
        <x:v>npm run lint</x:v>
      </x:c>
      <x:c r="D3" s="4" t="str">
        <x:v>Pass</x:v>
      </x:c>
      <x:c r="E3" s="4" t="str"/>
      <x:c r="F3" s="4" t="str">
        <x:v>ESLint passed after removing temporary builder artifact from output/.</x:v>
      </x:c>
      <x:c r="G3" s="4" t="str">
        <x:v>2026-06-24</x:v>
      </x:c>
    </x:row>
    <x:row r="4">
      <x:c r="A4" s="4" t="str">
        <x:v>TL-003</x:v>
      </x:c>
      <x:c r="B4" s="4" t="str">
        <x:v>Baseline verification</x:v>
      </x:c>
      <x:c r="C4" s="4" t="str">
        <x:v>npm run typecheck</x:v>
      </x:c>
      <x:c r="D4" s="4" t="str">
        <x:v>Pass</x:v>
      </x:c>
      <x:c r="E4" s="4" t="str"/>
      <x:c r="F4" s="4" t="str">
        <x:v>TypeScript passed after clearing stale .next generated route types.</x:v>
      </x:c>
      <x:c r="G4" s="4" t="str">
        <x:v>2026-06-24</x:v>
      </x:c>
    </x:row>
    <x:row r="5">
      <x:c r="A5" s="4" t="str">
        <x:v>TL-004</x:v>
      </x:c>
      <x:c r="B5" s="4" t="str">
        <x:v>Baseline verification</x:v>
      </x:c>
      <x:c r="C5" s="4" t="str">
        <x:v>npm run build</x:v>
      </x:c>
      <x:c r="D5" s="4" t="str">
        <x:v>Pass</x:v>
      </x:c>
      <x:c r="E5" s="4" t="str"/>
      <x:c r="F5" s="4" t="str">
        <x:v>Next production build passed.</x:v>
      </x:c>
      <x:c r="G5" s="4" t="str">
        <x:v>2026-06-24</x:v>
      </x:c>
    </x:row>
    <x:row r="6">
      <x:c r="A6" s="4" t="str">
        <x:v>TL-005</x:v>
      </x:c>
      <x:c r="B6" s="4" t="str">
        <x:v>Baseline verification</x:v>
      </x:c>
      <x:c r="C6" s="4" t="str">
        <x:v>npm run test:e2e</x:v>
      </x:c>
      <x:c r="D6" s="4" t="str">
        <x:v>Pass</x:v>
      </x:c>
      <x:c r="E6" s="4" t="str"/>
      <x:c r="F6" s="4" t="str">
        <x:v>Playwright e2e passed: 10 tests, including packet, readiness, smoke, and user-story-ledger flows.</x:v>
      </x:c>
      <x:c r="G6" s="4" t="str">
        <x:v>2026-06-24</x:v>
      </x:c>
    </x:row>
    <x:row r="7">
      <x:c r="A7" s="4" t="str">
        <x:v>TL-006</x:v>
      </x:c>
      <x:c r="B7" s="4" t="str">
        <x:v>Exploratory browser QA</x:v>
      </x:c>
      <x:c r="C7" s="4" t="str">
        <x:v>First-time supported wall shelf flow</x:v>
      </x:c>
      <x:c r="D7" s="4" t="str">
        <x:v>Pass</x:v>
      </x:c>
      <x:c r="E7" s="4" t="str"/>
      <x:c r="F7" s="4" t="str">
        <x:v>Covered by user-story-ledger e2e: dashboard idea draft opens the review form before save.</x:v>
      </x:c>
      <x:c r="G7" s="4" t="str">
        <x:v>2026-06-24</x:v>
      </x:c>
    </x:row>
    <x:row r="8">
      <x:c r="A8" s="4" t="str">
        <x:v>TL-007</x:v>
      </x:c>
      <x:c r="B8" s="4" t="str">
        <x:v>Exploratory browser QA</x:v>
      </x:c>
      <x:c r="C8" s="4" t="str">
        <x:v>Heavy garage wall shelf readiness flow</x:v>
      </x:c>
      <x:c r="D8" s="4" t="str">
        <x:v>Pass</x:v>
      </x:c>
      <x:c r="E8" s="4" t="str"/>
      <x:c r="F8" s="4" t="str">
        <x:v>Covered by readiness-friction e2e: heavy garage shelf support-count gate.</x:v>
      </x:c>
      <x:c r="G8" s="4" t="str">
        <x:v>2026-06-24</x:v>
      </x:c>
    </x:row>
    <x:row r="9">
      <x:c r="A9" s="4" t="str">
        <x:v>TL-008</x:v>
      </x:c>
      <x:c r="B9" s="4" t="str">
        <x:v>Exploratory browser QA</x:v>
      </x:c>
      <x:c r="C9" s="4" t="str">
        <x:v>Raised planter boundary flow</x:v>
      </x:c>
      <x:c r="D9" s="4" t="str">
        <x:v>Pass</x:v>
      </x:c>
      <x:c r="E9" s="4" t="str"/>
      <x:c r="F9" s="4" t="str">
        <x:v>Covered by readiness-friction e2e: raised planter support-template boundary.</x:v>
      </x:c>
      <x:c r="G9" s="4" t="str">
        <x:v>2026-06-24</x:v>
      </x:c>
    </x:row>
    <x:row r="10">
      <x:c r="A10" s="4" t="str">
        <x:v>TL-009</x:v>
      </x:c>
      <x:c r="B10" s="4" t="str">
        <x:v>Exploratory browser QA</x:v>
      </x:c>
      <x:c r="C10" s="4" t="str">
        <x:v>Generated packet review/print seeded flow</x:v>
      </x:c>
      <x:c r="D10" s="4" t="str">
        <x:v>Pass</x:v>
      </x:c>
      <x:c r="E10" s="4" t="str"/>
      <x:c r="F10" s="4" t="str">
        <x:v>Covered by packet-smoke e2e: seeded planter, wall shelf, separate shelves, connected unit, and print routes.</x:v>
      </x:c>
      <x:c r="G10" s="4" t="str">
        <x:v>2026-06-24</x:v>
      </x:c>
    </x:row>
    <x:row r="11">
      <x:c r="A11" s="4" t="str">
        <x:v>TL-010</x:v>
      </x:c>
      <x:c r="B11" s="4" t="str">
        <x:v>Post-fix verification</x:v>
      </x:c>
      <x:c r="C11" s="4" t="str">
        <x:v>Retest changed user stories after fixes</x:v>
      </x:c>
      <x:c r="D11" s="4" t="str">
        <x:v>Pass</x:v>
      </x:c>
      <x:c r="E11" s="4" t="str"/>
      <x:c r="F11" s="4" t="str">
        <x:v>No app logistical or UX defects remained after test-selector fixes; full e2e retest passed.</x:v>
      </x:c>
      <x:c r="G11" s="4" t="str">
        <x:v>2026-06-24</x:v>
      </x:c>
    </x:row>
  </x:sheetData>
  <x:dataValidations count="1">
    <x:dataValidation type="list" sqref="D2:D11">
      <x:formula1>"Pending,Pass,Fail,Blocked"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721233137340c5"/>
  </x:tableParts>
</x:worksheet>
</file>
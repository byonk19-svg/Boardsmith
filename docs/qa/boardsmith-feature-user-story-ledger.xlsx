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8d9414728d4c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ee26a5e3f9b4c45"/>
    <x:sheet xmlns:r="http://schemas.openxmlformats.org/officeDocument/2006/relationships" name="Feature Stories" sheetId="2" r:id="R55ba657b553a4b26"/>
    <x:sheet xmlns:r="http://schemas.openxmlformats.org/officeDocument/2006/relationships" name="Testing Log" sheetId="3" r:id="Raaa8f57ac7fa4890"/>
    <x:sheet xmlns:r="http://schemas.openxmlformats.org/officeDocument/2006/relationships" name="Status Vocabulary" sheetId="4" r:id="Rabf1f9233f5145b5"/>
    <x:sheet xmlns:r="http://schemas.openxmlformats.org/officeDocument/2006/relationships" name="QA Backlog" sheetId="5" r:id="Radff0053166d4c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2A211A"/>
      <x:name val="Carlito"/>
    </x:font>
    <x:font>
      <x:b/>
      <x:sz val="11"/>
      <x:color rgb="FF1F3E35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7A4D2F"/>
      </x:patternFill>
    </x:fill>
    <x:fill>
      <x:patternFill patternType="solid">
        <x:fgColor rgb="FFF3EFE7"/>
      </x:patternFill>
    </x:fill>
    <x:fill>
      <x:patternFill patternType="solid">
        <x:fgColor rgb="FFE8DDC9"/>
      </x:patternFill>
    </x:fill>
  </x:fills>
  <x:borders count="26">
    <x:border/>
    <x:border>
      <x:top style="thin">
        <x:color rgb="FFC7BDAE"/>
      </x:top>
      <x:bottom style="thin">
        <x:color rgb="FFE6E1D8"/>
      </x:bottom>
    </x:border>
    <x:border>
      <x:top style="thin">
        <x:color rgb="FFE6E1D8"/>
      </x:top>
      <x:bottom style="thin">
        <x:color rgb="FFE6E1D8"/>
      </x:bottom>
    </x:border>
    <x:border>
      <x:top style="thin">
        <x:color rgb="FFE6E1D8"/>
      </x:top>
      <x:bottom style="thin">
        <x:color rgb="FFC7BDAE"/>
      </x:bottom>
    </x:border>
    <x:border>
      <x:left style="thin">
        <x:color rgb="FFD7D0C4"/>
      </x:left>
      <x:right style="thin">
        <x:color rgb="FFD7D0C4"/>
      </x:right>
      <x:top style="thin">
        <x:color rgb="FFD7D0C4"/>
      </x:top>
      <x:bottom style="thin">
        <x:color rgb="FFD7D0C4"/>
      </x:bottom>
    </x:border>
    <x:border>
      <x:left style="thin">
        <x:color rgb="FF1F3E35"/>
      </x:left>
      <x:top style="thin">
        <x:color rgb="FF1F3E35"/>
      </x:top>
      <x:bottom style="thin">
        <x:color rgb="FF1F3E35"/>
      </x:bottom>
    </x:border>
    <x:border>
      <x:top style="thin">
        <x:color rgb="FF1F3E35"/>
      </x:top>
      <x:bottom style="thin">
        <x:color rgb="FF1F3E35"/>
      </x:bottom>
    </x:border>
    <x:border>
      <x:right style="thin">
        <x:color rgb="FF1F3E35"/>
      </x:right>
      <x:top style="thin">
        <x:color rgb="FF1F3E35"/>
      </x:top>
      <x:bottom style="thin">
        <x:color rgb="FF1F3E35"/>
      </x:bottom>
    </x:border>
    <x:border>
      <x:left style="thin">
        <x:color rgb="FF1F3E35"/>
      </x:left>
      <x:right style="thin">
        <x:color rgb="FFD7D0C4"/>
      </x:right>
      <x:top style="thin">
        <x:color rgb="FF1F3E35"/>
      </x:top>
      <x:bottom style="thin">
        <x:color rgb="FFD7D0C4"/>
      </x:bottom>
    </x:border>
    <x:border>
      <x:left style="thin">
        <x:color rgb="FFD7D0C4"/>
      </x:left>
      <x:right style="thin">
        <x:color rgb="FFD7D0C4"/>
      </x:right>
      <x:top style="thin">
        <x:color rgb="FF1F3E35"/>
      </x:top>
      <x:bottom style="thin">
        <x:color rgb="FFD7D0C4"/>
      </x:bottom>
    </x:border>
    <x:border>
      <x:left style="thin">
        <x:color rgb="FFD7D0C4"/>
      </x:left>
      <x:right style="thin">
        <x:color rgb="FF1F3E35"/>
      </x:right>
      <x:top style="thin">
        <x:color rgb="FF1F3E35"/>
      </x:top>
      <x:bottom style="thin">
        <x:color rgb="FFD7D0C4"/>
      </x:bottom>
    </x:border>
    <x:border>
      <x:left style="thin">
        <x:color rgb="FF1F3E35"/>
      </x:left>
      <x:right style="thin">
        <x:color rgb="FFD7D0C4"/>
      </x:right>
      <x:top style="thin">
        <x:color rgb="FFD7D0C4"/>
      </x:top>
      <x:bottom style="thin">
        <x:color rgb="FFD7D0C4"/>
      </x:bottom>
    </x:border>
    <x:border>
      <x:left style="thin">
        <x:color rgb="FFD7D0C4"/>
      </x:left>
      <x:top style="thin">
        <x:color rgb="FFD7D0C4"/>
      </x:top>
      <x:bottom style="thin">
        <x:color rgb="FFD7D0C4"/>
      </x:bottom>
    </x:border>
    <x:border>
      <x:left style="thin">
        <x:color rgb="FF1F3E35"/>
      </x:left>
      <x:right style="thin">
        <x:color rgb="FFD7D0C4"/>
      </x:right>
      <x:top style="thin">
        <x:color rgb="FFD7D0C4"/>
      </x:top>
      <x:bottom style="thin">
        <x:color rgb="FF1F3E35"/>
      </x:bottom>
    </x:border>
    <x:border>
      <x:left style="thin">
        <x:color rgb="FFD7D0C4"/>
      </x:left>
      <x:right style="thin">
        <x:color rgb="FFD7D0C4"/>
      </x:right>
      <x:top style="thin">
        <x:color rgb="FFD7D0C4"/>
      </x:top>
      <x:bottom style="thin">
        <x:color rgb="FF1F3E35"/>
      </x:bottom>
    </x:border>
    <x:border>
      <x:left style="thin">
        <x:color rgb="FFD7D0C4"/>
      </x:left>
      <x:top style="thin">
        <x:color rgb="FFD7D0C4"/>
      </x:top>
      <x:bottom style="thin">
        <x:color rgb="FF1F3E35"/>
      </x:bottom>
    </x:border>
    <x:border>
      <x:right style="thin">
        <x:color rgb="FFD7D0C4"/>
      </x:right>
      <x:bottom style="thin">
        <x:color rgb="FFD7D0C4"/>
      </x:bottom>
    </x:border>
    <x:border>
      <x:left style="thin">
        <x:color rgb="FFD7D0C4"/>
      </x:left>
      <x:right style="thin">
        <x:color rgb="FFD7D0C4"/>
      </x:right>
      <x:bottom style="thin">
        <x:color rgb="FFD7D0C4"/>
      </x:bottom>
    </x:border>
    <x:border>
      <x:left style="thin">
        <x:color rgb="FFD7D0C4"/>
      </x:left>
      <x:bottom style="thin">
        <x:color rgb="FFD7D0C4"/>
      </x:bottom>
    </x:border>
    <x:border>
      <x:right style="thin">
        <x:color rgb="FFD7D0C4"/>
      </x:right>
      <x:top style="thin">
        <x:color rgb="FFD7D0C4"/>
      </x:top>
      <x:bottom style="thin">
        <x:color rgb="FFD7D0C4"/>
      </x:bottom>
    </x:border>
    <x:border>
      <x:right style="thin">
        <x:color rgb="FFD7D0C4"/>
      </x:right>
      <x:top style="thin">
        <x:color rgb="FFD7D0C4"/>
      </x:top>
    </x:border>
    <x:border>
      <x:left style="thin">
        <x:color rgb="FFD7D0C4"/>
      </x:left>
      <x:right style="thin">
        <x:color rgb="FFD7D0C4"/>
      </x:right>
      <x:top style="thin">
        <x:color rgb="FFD7D0C4"/>
      </x:top>
    </x:border>
    <x:border>
      <x:left style="thin">
        <x:color rgb="FFD7D0C4"/>
      </x:left>
      <x:top style="thin">
        <x:color rgb="FFD7D0C4"/>
      </x:top>
    </x:border>
    <x:border>
      <x:left style="thin">
        <x:color rgb="FF9FB4AD"/>
      </x:left>
      <x:top style="thin">
        <x:color rgb="FF9FB4AD"/>
      </x:top>
      <x:bottom style="thin">
        <x:color rgb="FF9FB4AD"/>
      </x:bottom>
    </x:border>
    <x:border>
      <x:top style="thin">
        <x:color rgb="FF9FB4AD"/>
      </x:top>
      <x:bottom style="thin">
        <x:color rgb="FF9FB4AD"/>
      </x:bottom>
    </x:border>
    <x:border>
      <x:right style="thin">
        <x:color rgb="FF9FB4AD"/>
      </x:right>
      <x:top style="thin">
        <x:color rgb="FF9FB4AD"/>
      </x:top>
      <x:bottom style="thin">
        <x:color rgb="FF9FB4AD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/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0" fillId="0" borderId="4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3" fillId="4" borderId="4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5" xfId="0" applyNumberFormat="1" applyFont="1" applyFill="0" applyBorder="1" applyAlignment="1">
      <x:alignment wrapText="1"/>
    </x:xf>
    <x:xf numFmtId="0" fontId="1" borderId="6" xfId="0" applyNumberFormat="1" applyFont="1" applyFill="0" applyBorder="1" applyAlignment="1">
      <x:alignment wrapText="1"/>
    </x:xf>
    <x:xf numFmtId="0" fontId="1" borderId="7" xfId="0" applyNumberFormat="1" applyFont="1" applyFill="0" applyBorder="1" applyAlignment="1">
      <x:alignment wrapText="1"/>
    </x:xf>
    <x:xf numFmtId="0" fontId="1" borderId="8" xfId="0" applyNumberFormat="1" applyFont="1" applyFill="0" applyBorder="1" applyAlignment="1">
      <x:alignment wrapText="1"/>
    </x:xf>
    <x:xf numFmtId="0" fontId="1" borderId="9" xfId="0" applyNumberFormat="1" applyFont="1" applyFill="0" applyBorder="1" applyAlignment="1">
      <x:alignment wrapText="1"/>
    </x:xf>
    <x:xf numFmtId="0" fontId="1" borderId="10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1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borderId="0" xfId="0" applyNumberFormat="1" applyFont="1" applyFill="0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201" fontId="0" fillId="0" borderId="12" xfId="0" applyNumberFormat="1" applyFont="1" applyFill="1" applyBorder="1" applyAlignment="1">
      <x:alignment wrapText="1"/>
    </x:xf>
    <x:xf numFmtId="201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5" borderId="5" xfId="0" applyNumberFormat="1" applyFont="1" applyFill="0" applyBorder="1" applyAlignment="1">
      <x:alignment wrapText="1"/>
    </x:xf>
    <x:xf numFmtId="0" fontId="5" borderId="6" xfId="0" applyNumberFormat="1" applyFont="1" applyFill="0" applyBorder="1" applyAlignment="1">
      <x:alignment wrapText="1"/>
    </x:xf>
    <x:xf numFmtId="0" fontId="5" borderId="7" xfId="0" applyNumberFormat="1" applyFont="1" applyFill="0" applyBorder="1" applyAlignment="1">
      <x:alignment wrapText="1"/>
    </x:xf>
    <x:xf numFmtId="0" fontId="5" borderId="23" xfId="0" applyNumberFormat="1" applyFont="1" applyFill="0" applyBorder="1" applyAlignment="1">
      <x:alignment wrapText="1"/>
    </x:xf>
    <x:xf numFmtId="0" fontId="5" borderId="24" xfId="0" applyNumberFormat="1" applyFont="1" applyFill="0" applyBorder="1" applyAlignment="1">
      <x:alignment wrapText="1"/>
    </x:xf>
    <x:xf numFmtId="0" fontId="5" borderId="25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8581161a1044fb" /><Relationship Type="http://schemas.openxmlformats.org/officeDocument/2006/relationships/theme" Target="/xl/theme/theme1.xml" Id="R20cf687b2a6a4227" /><Relationship Type="http://schemas.openxmlformats.org/officeDocument/2006/relationships/sharedStrings" Target="/xl/sharedStrings.xml" Id="R1fb554d51cf94c15" /><Relationship Type="http://schemas.openxmlformats.org/officeDocument/2006/relationships/worksheet" Target="/xl/worksheets/sheet1.xml" Id="R8ee26a5e3f9b4c45" /><Relationship Type="http://schemas.openxmlformats.org/officeDocument/2006/relationships/worksheet" Target="/xl/worksheets/sheet2.xml" Id="R55ba657b553a4b26" /><Relationship Type="http://schemas.openxmlformats.org/officeDocument/2006/relationships/worksheet" Target="/xl/worksheets/sheet3.xml" Id="Raaa8f57ac7fa4890" /><Relationship Type="http://schemas.openxmlformats.org/officeDocument/2006/relationships/worksheet" Target="/xl/worksheets/sheet4.xml" Id="Rabf1f9233f5145b5" /><Relationship Type="http://schemas.openxmlformats.org/officeDocument/2006/relationships/worksheet" Target="/xl/worksheets/sheet5.xml" Id="Radff0053166d4c58" /></Relationships>
</file>

<file path=xl/tables/table1.xml><?xml version="1.0" encoding="utf-8"?>
<x:table xmlns:x="http://schemas.openxmlformats.org/spreadsheetml/2006/main" id="1" name="FeatureStories" displayName="FeatureStories" ref="A1:N63" headerRowCount="1">
  <x:tableColumns count="14">
    <x:tableColumn id="1" name="ID"/>
    <x:tableColumn id="2" name="Area"/>
    <x:tableColumn id="3" name="Feature"/>
    <x:tableColumn id="4" name="User Story"/>
    <x:tableColumn id="5" name="Expected Behavior"/>
    <x:tableColumn id="6" name="Source Of Truth"/>
    <x:tableColumn id="7" name="Critical Edge Cases"/>
    <x:tableColumn id="8" name="Verification Coverage"/>
    <x:tableColumn id="9" name="Current Status"/>
    <x:tableColumn id="10" name="Test Pass Status"/>
    <x:tableColumn id="11" name="Errors Found"/>
    <x:tableColumn id="12" name="Fix Status"/>
    <x:tableColumn id="13" name="Retest Status"/>
    <x:tableColumn id="14" name="Last Updated"/>
  </x:tableColumns>
  <x:tableStyleInfo name="TableStyleMedium2" showRowStripes="1"/>
</x:table>
</file>

<file path=xl/tables/table2.xml><?xml version="1.0" encoding="utf-8"?>
<x:table xmlns:x="http://schemas.openxmlformats.org/spreadsheetml/2006/main" id="2" name="TestingLog" displayName="TestingLog" ref="A1:G11" headerRowCount="1">
  <x:tableColumns count="7">
    <x:tableColumn id="1" name="ID"/>
    <x:tableColumn id="2" name="Pass"/>
    <x:tableColumn id="3" name="Command Or Scenario"/>
    <x:tableColumn id="4" name="Status"/>
    <x:tableColumn id="5" name="Errors Found"/>
    <x:tableColumn id="6" name="Evidence / Notes"/>
    <x:tableColumn id="7" name="Last Updated"/>
  </x:tableColumns>
  <x:tableStyleInfo name="TableStyleMedium2" showRowStripes="1"/>
</x:table>
</file>

<file path=xl/tables/table3.xml><?xml version="1.0" encoding="utf-8"?>
<x:table xmlns:x="http://schemas.openxmlformats.org/spreadsheetml/2006/main" id="3" name="QABacklog" displayName="QABacklog" ref="A3:T203" headerRowCount="1">
  <x:tableColumns count="20">
    <x:tableColumn id="1" name="Backlog ID"/>
    <x:tableColumn id="2" name="Story ID"/>
    <x:tableColumn id="3" name="Scenario"/>
    <x:tableColumn id="4" name="Page / Flow"/>
    <x:tableColumn id="5" name="User Goal"/>
    <x:tableColumn id="6" name="What Happened"/>
    <x:tableColumn id="7" name="Why It Matters"/>
    <x:tableColumn id="8" name="Suggested Fix"/>
    <x:tableColumn id="9" name="Severity"/>
    <x:tableColumn id="10" name="Confidence"/>
    <x:tableColumn id="11" name="Backlog Status"/>
    <x:tableColumn id="12" name="Repeat Count"/>
    <x:tableColumn id="13" name="Evidence Link"/>
    <x:tableColumn id="14" name="Source Finding"/>
    <x:tableColumn id="15" name="Should Become Playwright Test"/>
    <x:tableColumn id="16" name="Owner"/>
    <x:tableColumn id="17" name="Next Action"/>
    <x:tableColumn id="18" name="Fix Commit / PR"/>
    <x:tableColumn id="19" name="Retest Result"/>
    <x:tableColumn id="20" name="Last Updat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46de57d3a24a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37e1e75f8c041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1c88958e72a4fb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 t="str">
        <x:v>Boardsmith Feature User Story Ledger</x:v>
      </x:c>
      <x:c r="B1" s="11" t="str">
        <x:v>Boardsmith Feature User Story Ledger</x:v>
      </x:c>
      <x:c r="C1" s="11" t="str">
        <x:v>Boardsmith Feature User Story Ledger</x:v>
      </x:c>
      <x:c r="D1" s="11" t="str">
        <x:v>Boardsmith Feature User Story Ledger</x:v>
      </x:c>
      <x:c r="E1" s="11" t="str">
        <x:v>Boardsmith Feature User Story Ledger</x:v>
      </x:c>
      <x:c r="F1" s="11" t="str">
        <x:v>Boardsmith Feature User Story Ledger</x:v>
      </x:c>
    </x:row>
    <x:row r="3">
      <x:c r="A3" s="18" t="str">
        <x:v>Generated</x:v>
      </x:c>
      <x:c r="B3" s="19" t="str">
        <x:v>2026-06-24</x:v>
      </x:c>
      <x:c r="C3" s="20"/>
      <x:c r="D3" s="20"/>
      <x:c r="E3" s="20"/>
      <x:c r="F3" s="20"/>
    </x:row>
    <x:row r="4">
      <x:c r="A4" s="18" t="str">
        <x:v>Canonical tracker</x:v>
      </x:c>
      <x:c r="B4" s="19" t="str">
        <x:v>C:/dev/boardsmith/docs/qa/boardsmith-feature-user-story-ledger.xlsx</x:v>
      </x:c>
      <x:c r="C4" s="20"/>
      <x:c r="D4" s="20"/>
      <x:c r="E4" s="20"/>
      <x:c r="F4" s="20"/>
    </x:row>
    <x:row r="5">
      <x:c r="A5" s="18" t="str">
        <x:v>Total stories</x:v>
      </x:c>
      <x:c r="B5" s="19" t="n">
        <x:v>62</x:v>
      </x:c>
      <x:c r="C5" s="20"/>
      <x:c r="D5" s="20"/>
      <x:c r="E5" s="20"/>
      <x:c r="F5" s="20"/>
    </x:row>
    <x:row r="6">
      <x:c r="A6" s="18" t="str">
        <x:v>Pending test stories</x:v>
      </x:c>
      <x:c r="B6" s="19" t="n">
        <x:f>COUNTIF('Feature Stories'!J2:J63,"Pending")</x:f>
        <x:v>0</x:v>
      </x:c>
      <x:c r="C6" s="20"/>
      <x:c r="D6" s="20"/>
      <x:c r="E6" s="20"/>
      <x:c r="F6" s="20"/>
    </x:row>
    <x:row r="7">
      <x:c r="A7" s="18" t="str">
        <x:v>Failed test stories</x:v>
      </x:c>
      <x:c r="B7" s="19" t="n">
        <x:f>COUNTIF('Feature Stories'!J2:J63,"Fail")</x:f>
        <x:v>0</x:v>
      </x:c>
      <x:c r="C7" s="20"/>
      <x:c r="D7" s="20"/>
      <x:c r="E7" s="20"/>
      <x:c r="F7" s="20"/>
    </x:row>
    <x:row r="8">
      <x:c r="A8" s="18" t="str">
        <x:v>Fixed stories</x:v>
      </x:c>
      <x:c r="B8" s="19" t="n">
        <x:f>COUNTIF('Feature Stories'!L2:L63,"Fixed")</x:f>
        <x:v>0</x:v>
      </x:c>
      <x:c r="C8" s="20"/>
      <x:c r="D8" s="20"/>
      <x:c r="E8" s="20"/>
      <x:c r="F8" s="20"/>
    </x:row>
    <x:row r="9">
      <x:c r="A9" s="18" t="str">
        <x:v>Retest pass stories</x:v>
      </x:c>
      <x:c r="B9" s="19" t="n">
        <x:f>COUNTIF('Feature Stories'!M2:M63,"Pass")</x:f>
        <x:v>62</x:v>
      </x:c>
      <x:c r="C9" s="20"/>
      <x:c r="D9" s="20"/>
      <x:c r="E9" s="20"/>
      <x:c r="F9" s="20"/>
    </x:row>
    <x:row r="10">
      <x:c r="A10" s="18" t="str">
        <x:v>Active backlog issues</x:v>
      </x:c>
      <x:c r="B10" s="19" t="n">
        <x:f>COUNTIFS('QA Backlog'!A4:A203,"&lt;&gt;",'QA Backlog'!K4:K203,"&lt;&gt;Closed - Retested Pass",'QA Backlog'!K4:K203,"&lt;&gt;Closed - Leave Alone")</x:f>
        <x:v>0</x:v>
      </x:c>
      <x:c r="C10" s="20"/>
      <x:c r="D10" s="20"/>
      <x:c r="E10" s="20"/>
      <x:c r="F10" s="20"/>
    </x:row>
    <x:row r="11">
      <x:c r="A11" s="20"/>
      <x:c r="B11" s="20"/>
      <x:c r="C11" s="20"/>
      <x:c r="D11" s="20"/>
      <x:c r="E11" s="20"/>
      <x:c r="F11" s="20"/>
    </x:row>
    <x:row r="12">
      <x:c r="A12" s="21" t="str">
        <x:v>Workflow</x:v>
      </x:c>
      <x:c r="B12" s="21" t="str">
        <x:v>Workflow</x:v>
      </x:c>
      <x:c r="C12" s="21" t="str">
        <x:v>Workflow</x:v>
      </x:c>
      <x:c r="D12" s="21" t="str">
        <x:v>Workflow</x:v>
      </x:c>
      <x:c r="E12" s="21" t="str">
        <x:v>Workflow</x:v>
      </x:c>
      <x:c r="F12" s="21" t="str">
        <x:v>Workflow</x:v>
      </x:c>
    </x:row>
    <x:row r="13">
      <x:c r="A13" s="4" t="str">
        <x:v>1</x:v>
      </x:c>
      <x:c r="B13" s="4" t="str">
        <x:v>Inventory every feature from code/docs/tests.</x:v>
      </x:c>
      <x:c r="C13" s="4" t="str"/>
      <x:c r="D13" s="4" t="str"/>
      <x:c r="E13" s="4" t="str"/>
      <x:c r="F13" s="4" t="str"/>
    </x:row>
    <x:row r="14">
      <x:c r="A14" s="4" t="str">
        <x:v>2</x:v>
      </x:c>
      <x:c r="B14" s="4" t="str">
        <x:v>Run automated verification and exploratory browser QA.</x:v>
      </x:c>
      <x:c r="C14" s="4" t="str"/>
      <x:c r="D14" s="4" t="str"/>
      <x:c r="E14" s="4" t="str"/>
      <x:c r="F14" s="4" t="str"/>
    </x:row>
    <x:row r="15">
      <x:c r="A15" s="4" t="str">
        <x:v>3</x:v>
      </x:c>
      <x:c r="B15" s="4" t="str">
        <x:v>Document every error in Feature Stories and Testing Log.</x:v>
      </x:c>
      <x:c r="C15" s="4" t="str"/>
      <x:c r="D15" s="4" t="str"/>
      <x:c r="E15" s="4" t="str"/>
      <x:c r="F15" s="4" t="str"/>
    </x:row>
    <x:row r="16">
      <x:c r="A16" s="4" t="str">
        <x:v>4</x:v>
      </x:c>
      <x:c r="B16" s="4" t="str">
        <x:v>Fix logistical or UX errors with narrow changes.</x:v>
      </x:c>
      <x:c r="C16" s="4" t="str"/>
      <x:c r="D16" s="4" t="str"/>
      <x:c r="E16" s="4" t="str"/>
      <x:c r="F16" s="4" t="str"/>
    </x:row>
    <x:row r="17">
      <x:c r="A17" s="4" t="str">
        <x:v>5</x:v>
      </x:c>
      <x:c r="B17" s="4" t="str">
        <x:v>Retest changed and affected user behaviors post-fix.</x:v>
      </x:c>
      <x:c r="C17" s="4" t="str"/>
      <x:c r="D17" s="4" t="str"/>
      <x:c r="E17" s="4" t="str"/>
      <x:c r="F17" s="4" t="str"/>
    </x:row>
    <x:row r="18">
      <x:c r="A18" s="25" t="str">
        <x:v>Canonical QA backlog</x:v>
      </x:c>
      <x:c r="B18" s="26" t="str">
        <x:v>Canonical QA backlog</x:v>
      </x:c>
      <x:c r="C18" s="26" t="str">
        <x:v>Canonical QA backlog</x:v>
      </x:c>
      <x:c r="D18" s="26" t="str">
        <x:v>Canonical QA backlog</x:v>
      </x:c>
      <x:c r="E18" s="26" t="str">
        <x:v>Canonical QA backlog</x:v>
      </x:c>
      <x:c r="F18" s="27" t="str">
        <x:v>Canonical QA backlog</x:v>
      </x:c>
    </x:row>
    <x:row r="19">
      <x:c r="A19" s="54" t="str">
        <x:v>Active backlog sheet</x:v>
      </x:c>
      <x:c r="B19" s="55" t="str">
        <x:v>QA Backlog</x:v>
      </x:c>
      <x:c r="C19" s="55"/>
      <x:c r="D19" s="55"/>
      <x:c r="E19" s="55"/>
      <x:c r="F19" s="56"/>
    </x:row>
    <x:row r="20">
      <x:c r="A20" s="57" t="str">
        <x:v>Status vocabulary sheet</x:v>
      </x:c>
      <x:c r="B20" s="37" t="str">
        <x:v>Status Vocabulary</x:v>
      </x:c>
      <x:c r="C20" s="37"/>
      <x:c r="D20" s="37"/>
      <x:c r="E20" s="37"/>
      <x:c r="F20" s="38"/>
    </x:row>
    <x:row r="21">
      <x:c r="A21" s="58" t="str">
        <x:v>Selection rule</x:v>
      </x:c>
      <x:c r="B21" s="59" t="str">
        <x:v>Pull fix batches from high-confidence Must fix / Should fix rows only; close rows after retest or explicit leave-alone decision.</x:v>
      </x:c>
      <x:c r="C21" s="59"/>
      <x:c r="D21" s="59"/>
      <x:c r="E21" s="59"/>
      <x:c r="F21" s="60"/>
    </x:row>
  </x:sheetData>
  <x:mergeCells>
    <x:mergeCell ref="A1:F1"/>
    <x:mergeCell ref="A12:F12"/>
    <x:mergeCell ref="B21:F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44" hidden="0" customWidth="1"/>
    <x:col min="5" max="5" width="58" hidden="0" customWidth="1"/>
    <x:col min="6" max="6" width="36" hidden="0" customWidth="1"/>
    <x:col min="7" max="7" width="36" hidden="0" customWidth="1"/>
    <x:col min="8" max="8" width="36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4" hidden="0" customWidth="1"/>
  </x:cols>
  <x:sheetData>
    <x:row r="1">
      <x:c r="A1" s="5" t="str">
        <x:v>ID</x:v>
      </x:c>
      <x:c r="B1" s="5" t="str">
        <x:v>Area</x:v>
      </x:c>
      <x:c r="C1" s="5" t="str">
        <x:v>Feature</x:v>
      </x:c>
      <x:c r="D1" s="5" t="str">
        <x:v>User Story</x:v>
      </x:c>
      <x:c r="E1" s="5" t="str">
        <x:v>Expected Behavior</x:v>
      </x:c>
      <x:c r="F1" s="5" t="str">
        <x:v>Source Of Truth</x:v>
      </x:c>
      <x:c r="G1" s="5" t="str">
        <x:v>Critical Edge Cases</x:v>
      </x:c>
      <x:c r="H1" s="5" t="str">
        <x:v>Verification Coverage</x:v>
      </x:c>
      <x:c r="I1" s="5" t="str">
        <x:v>Current Status</x:v>
      </x:c>
      <x:c r="J1" s="5" t="str">
        <x:v>Test Pass Status</x:v>
      </x:c>
      <x:c r="K1" s="5" t="str">
        <x:v>Errors Found</x:v>
      </x:c>
      <x:c r="L1" s="5" t="str">
        <x:v>Fix Status</x:v>
      </x:c>
      <x:c r="M1" s="5" t="str">
        <x:v>Retest Status</x:v>
      </x:c>
      <x:c r="N1" s="5" t="str">
        <x:v>Last Updated</x:v>
      </x:c>
    </x:row>
    <x:row r="2">
      <x:c r="A2" s="6" t="str">
        <x:v>BS-US-001</x:v>
      </x:c>
      <x:c r="B2" s="6" t="str">
        <x:v>Access</x:v>
      </x:c>
      <x:c r="C2" s="6" t="str">
        <x:v>Private access gate</x:v>
      </x:c>
      <x:c r="D2" s="6" t="str">
        <x:v>As a private MVP user, I can enter the configured access password and return to the page I asked for.</x:v>
      </x:c>
      <x:c r="E2" s="6" t="str">
        <x:v>When BOARDSMITH_ACCESS_PASSWORD is set, protected routes redirect to /access; a correct password sets an HTTP-only cookie and redirects to sanitized returnTo; wrong passwords do not set access.</x:v>
      </x:c>
      <x:c r="F2" s="6" t="str">
        <x:v>app/access/page.tsx; app/access/verify/route.ts; lib/access/private-access.ts</x:v>
      </x:c>
      <x:c r="G2" s="6" t="str">
        <x:v>Wrong password, missing returnTo, unsafe returnTo, public access paths.</x:v>
      </x:c>
      <x:c r="H2" s="6" t="str">
        <x:v>access-page.test.ts; access-verify-route.test.ts; private-access-gate.test.ts; private-access-proxy.test.ts</x:v>
      </x:c>
      <x:c r="I2" s="6" t="str">
        <x:v>Ready</x:v>
      </x:c>
      <x:c r="J2" s="6" t="str">
        <x:v>Pass</x:v>
      </x:c>
      <x:c r="K2" s="6"/>
      <x:c r="L2" s="6" t="str">
        <x:v>Not Required</x:v>
      </x:c>
      <x:c r="M2" s="6" t="str">
        <x:v>Pass</x:v>
      </x:c>
      <x:c r="N2" s="6" t="str">
        <x:v>2026-06-24</x:v>
      </x:c>
    </x:row>
    <x:row r="3">
      <x:c r="A3" s="6" t="str">
        <x:v>BS-US-002</x:v>
      </x:c>
      <x:c r="B3" s="6" t="str">
        <x:v>Navigation</x:v>
      </x:c>
      <x:c r="C3" s="6" t="str">
        <x:v>Application shell navigation</x:v>
      </x:c>
      <x:c r="D3" s="6" t="str">
        <x:v>As a user, I can move between Dashboard, My Projects, New Project, and Settings from the app shell.</x:v>
      </x:c>
      <x:c r="E3" s="6" t="str">
        <x:v>Root layout exposes stable links and preserves private workspace framing without public sharing/export claims.</x:v>
      </x:c>
      <x:c r="F3" s="6" t="str">
        <x:v>app/layout.tsx</x:v>
      </x:c>
      <x:c r="G3" s="6" t="str">
        <x:v>Route availability, active context, no public product terminology.</x:v>
      </x:c>
      <x:c r="H3" s="6" t="str">
        <x:v>dashboard-page.test.ts; settings-page.test.ts; e2e/smoke.spec.ts</x:v>
      </x:c>
      <x:c r="I3" s="6" t="str">
        <x:v>Ready</x:v>
      </x:c>
      <x:c r="J3" s="6" t="str">
        <x:v>Pass</x:v>
      </x:c>
      <x:c r="K3" s="6"/>
      <x:c r="L3" s="6" t="str">
        <x:v>Not Required</x:v>
      </x:c>
      <x:c r="M3" s="6" t="str">
        <x:v>Pass</x:v>
      </x:c>
      <x:c r="N3" s="6" t="str">
        <x:v>2026-06-24</x:v>
      </x:c>
    </x:row>
    <x:row r="4">
      <x:c r="A4" s="6" t="str">
        <x:v>BS-US-003</x:v>
      </x:c>
      <x:c r="B4" s="6" t="str">
        <x:v>Settings</x:v>
      </x:c>
      <x:c r="C4" s="6" t="str">
        <x:v>Private MVP settings posture</x:v>
      </x:c>
      <x:c r="D4" s="6" t="str">
        <x:v>As an owner, I can see whether OpenAI and storage are configured and what capabilities are intentionally deferred.</x:v>
      </x:c>
      <x:c r="E4" s="6" t="str">
        <x:v>Settings reports OpenAI configured/missing, Supabase/local JSON storage, private access posture, planning-aid boundary, no sharing/export/auth promises.</x:v>
      </x:c>
      <x:c r="F4" s="6" t="str">
        <x:v>app/settings/page.tsx</x:v>
      </x:c>
      <x:c r="G4" s="6" t="str">
        <x:v>Missing env vars, Supabase mode, deferred features copy.</x:v>
      </x:c>
      <x:c r="H4" s="6" t="str">
        <x:v>settings-page.test.ts; supabase-config.test.ts</x:v>
      </x:c>
      <x:c r="I4" s="6" t="str">
        <x:v>Ready</x:v>
      </x:c>
      <x:c r="J4" s="6" t="str">
        <x:v>Pass</x:v>
      </x:c>
      <x:c r="K4" s="6"/>
      <x:c r="L4" s="6" t="str">
        <x:v>Not Required</x:v>
      </x:c>
      <x:c r="M4" s="6" t="str">
        <x:v>Pass</x:v>
      </x:c>
      <x:c r="N4" s="6" t="str">
        <x:v>2026-06-24</x:v>
      </x:c>
    </x:row>
    <x:row r="5">
      <x:c r="A5" s="6" t="str">
        <x:v>BS-US-004</x:v>
      </x:c>
      <x:c r="B5" s="6" t="str">
        <x:v>Dashboard</x:v>
      </x:c>
      <x:c r="C5" s="6" t="str">
        <x:v>Workspace overview</x:v>
      </x:c>
      <x:c r="D5" s="6" t="str">
        <x:v>As an owner, I can see project counts, recent projects, latest update, and next actions from the dashboard.</x:v>
      </x:c>
      <x:c r="E5" s="6" t="str">
        <x:v>Dashboard sorts recent projects by update, shows empty state when none exist, and never introduces public sharing or export language.</x:v>
      </x:c>
      <x:c r="F5" s="6" t="str">
        <x:v>app/page.tsx</x:v>
      </x:c>
      <x:c r="G5" s="6" t="str">
        <x:v>No projects, failed generation, archived hidden from active summaries, built projects.</x:v>
      </x:c>
      <x:c r="H5" s="6" t="str">
        <x:v>dashboard-page.test.ts</x:v>
      </x:c>
      <x:c r="I5" s="6" t="str">
        <x:v>Ready</x:v>
      </x:c>
      <x:c r="J5" s="6" t="str">
        <x:v>Pass</x:v>
      </x:c>
      <x:c r="K5" s="6"/>
      <x:c r="L5" s="6" t="str">
        <x:v>Not Required</x:v>
      </x:c>
      <x:c r="M5" s="6" t="str">
        <x:v>Pass</x:v>
      </x:c>
      <x:c r="N5" s="6" t="str">
        <x:v>2026-06-24</x:v>
      </x:c>
    </x:row>
    <x:row r="6">
      <x:c r="A6" s="6" t="str">
        <x:v>BS-US-005</x:v>
      </x:c>
      <x:c r="B6" s="6" t="str">
        <x:v>Dashboard</x:v>
      </x:c>
      <x:c r="C6" s="6" t="str">
        <x:v>Idea draft entry point</x:v>
      </x:c>
      <x:c r="D6" s="6" t="str">
        <x:v>As a user with a rough idea, I can draft setup fields from the dashboard without saving a project yet.</x:v>
      </x:c>
      <x:c r="E6" s="6" t="str">
        <x:v>Dashboard posts idea_text to /projects/draft; short ideas redirect to invalid_idea; successful drafts return to /projects/new?draft=idea with a short-lived cookie.</x:v>
      </x:c>
      <x:c r="F6" s="6" t="str">
        <x:v>app/page.tsx; app/projects/draft/route.ts; lib/projects/natural-language-intake.ts</x:v>
      </x:c>
      <x:c r="G6" s="6" t="str">
        <x:v>Short idea, safety-blocked idea, unsupported idea, cookie draft preservation.</x:v>
      </x:c>
      <x:c r="H6" s="6" t="str">
        <x:v>natural-language-intake.test.ts; project-form-routes.test.ts</x:v>
      </x:c>
      <x:c r="I6" s="6" t="str">
        <x:v>Ready</x:v>
      </x:c>
      <x:c r="J6" s="6" t="str">
        <x:v>Pass</x:v>
      </x:c>
      <x:c r="K6" s="6"/>
      <x:c r="L6" s="6" t="str">
        <x:v>Not Required</x:v>
      </x:c>
      <x:c r="M6" s="6" t="str">
        <x:v>Pass</x:v>
      </x:c>
      <x:c r="N6" s="6" t="str">
        <x:v>2026-06-24</x:v>
      </x:c>
    </x:row>
    <x:row r="7">
      <x:c r="A7" s="6" t="str">
        <x:v>BS-US-006</x:v>
      </x:c>
      <x:c r="B7" s="6" t="str">
        <x:v>Dashboard</x:v>
      </x:c>
      <x:c r="C7" s="6" t="str">
        <x:v>Starter shortcuts</x:v>
      </x:c>
      <x:c r="D7" s="6" t="str">
        <x:v>As a new user, I can start from curated beginner examples.</x:v>
      </x:c>
      <x:c r="E7" s="6" t="str">
        <x:v>Dashboard starter links open /projects/new?example=... and the new-project page pre-fills editable starter fields when the slug is known.</x:v>
      </x:c>
      <x:c r="F7" s="6" t="str">
        <x:v>app/page.tsx; app/projects/new/page.tsx; lib/projects/intake-examples.ts</x:v>
      </x:c>
      <x:c r="G7" s="6" t="str">
        <x:v>Unknown example, editable starters, no auto-save.</x:v>
      </x:c>
      <x:c r="H7" s="6" t="str">
        <x:v>dashboard-page.test.ts; project-form-routes.test.ts</x:v>
      </x:c>
      <x:c r="I7" s="6" t="str">
        <x:v>Ready</x:v>
      </x:c>
      <x:c r="J7" s="6" t="str">
        <x:v>Pass</x:v>
      </x:c>
      <x:c r="K7" s="6"/>
      <x:c r="L7" s="6" t="str">
        <x:v>Not Required</x:v>
      </x:c>
      <x:c r="M7" s="6" t="str">
        <x:v>Pass</x:v>
      </x:c>
      <x:c r="N7" s="6" t="str">
        <x:v>2026-06-24</x:v>
      </x:c>
    </x:row>
    <x:row r="8">
      <x:c r="A8" s="6" t="str">
        <x:v>BS-US-007</x:v>
      </x:c>
      <x:c r="B8" s="6" t="str">
        <x:v>Project Intake</x:v>
      </x:c>
      <x:c r="C8" s="6" t="str">
        <x:v>New project form sections</x:v>
      </x:c>
      <x:c r="D8" s="6" t="str">
        <x:v>As a user, I can enter project type, skill, size, material, mounting context, tools, and notes before any plan is generated.</x:v>
      </x:c>
      <x:c r="E8" s="6" t="str">
        <x:v>The form posts structured fields to /projects/create and uses schema validation for required title, type, skill, dimensions, thickness, material, tools, and intended use.</x:v>
      </x:c>
      <x:c r="F8" s="6" t="str">
        <x:v>app/projects/new/page.tsx; lib/projects/types.ts</x:v>
      </x:c>
      <x:c r="G8" s="6" t="str">
        <x:v>Missing fields, invalid numbers, no tools, simple shelf height defaulting to material thickness.</x:v>
      </x:c>
      <x:c r="H8" s="6" t="str">
        <x:v>project-form-routes.test.ts; project-store.test.ts</x:v>
      </x:c>
      <x:c r="I8" s="6" t="str">
        <x:v>Ready</x:v>
      </x:c>
      <x:c r="J8" s="6" t="str">
        <x:v>Pass</x:v>
      </x:c>
      <x:c r="K8" s="6"/>
      <x:c r="L8" s="6" t="str">
        <x:v>Not Required</x:v>
      </x:c>
      <x:c r="M8" s="6" t="str">
        <x:v>Pass</x:v>
      </x:c>
      <x:c r="N8" s="6" t="str">
        <x:v>2026-06-24</x:v>
      </x:c>
    </x:row>
    <x:row r="9">
      <x:c r="A9" s="6" t="str">
        <x:v>BS-US-008</x:v>
      </x:c>
      <x:c r="B9" s="6" t="str">
        <x:v>Project Intake</x:v>
      </x:c>
      <x:c r="C9" s="6" t="str">
        <x:v>Natural-language supported draft</x:v>
      </x:c>
      <x:c r="D9" s="6" t="str">
        <x:v>As a user, I can paste a clear supported shelf idea and review conservative generated setup fields before saving.</x:v>
      </x:c>
      <x:c r="E9" s="6" t="str">
        <x:v>Supported drafts prefill form fields, show review metadata, keep structured fields editable, and do not save or generate a plan until submit.</x:v>
      </x:c>
      <x:c r="F9" s="6" t="str">
        <x:v>app/projects/draft/route.ts; app/projects/new/page.tsx; lib/projects/natural-language-intake.ts</x:v>
      </x:c>
      <x:c r="G9" s="6" t="str">
        <x:v>Store-cut preference, support count, heavy-load notes, missing-field hints.</x:v>
      </x:c>
      <x:c r="H9" s="6" t="str">
        <x:v>natural-language-intake.test.ts</x:v>
      </x:c>
      <x:c r="I9" s="6" t="str">
        <x:v>Ready</x:v>
      </x:c>
      <x:c r="J9" s="6" t="str">
        <x:v>Pass</x:v>
      </x:c>
      <x:c r="K9" s="6"/>
      <x:c r="L9" s="6" t="str">
        <x:v>Not Required</x:v>
      </x:c>
      <x:c r="M9" s="6" t="str">
        <x:v>Pass</x:v>
      </x:c>
      <x:c r="N9" s="6" t="str">
        <x:v>2026-06-24</x:v>
      </x:c>
    </x:row>
    <x:row r="10">
      <x:c r="A10" s="6" t="str">
        <x:v>BS-US-009</x:v>
      </x:c>
      <x:c r="B10" s="6" t="str">
        <x:v>Project Intake</x:v>
      </x:c>
      <x:c r="C10" s="6" t="str">
        <x:v>Concept-only or unsupported draft resolution</x:v>
      </x:c>
      <x:c r="D10" s="6" t="str">
        <x:v>As a user, I cannot accidentally save an unsupported idea as a build packet without explicitly choosing a supported template.</x:v>
      </x:c>
      <x:c r="E10" s="6" t="str">
        <x:v>Concept-only and unsupported natural-language drafts require draft_resolution=supported_template_selected before create; otherwise redirect back with unresolved_idea.</x:v>
      </x:c>
      <x:c r="F10" s="6" t="str">
        <x:v>app/projects/create/route.ts; app/projects/new/page.tsx</x:v>
      </x:c>
      <x:c r="G10" s="6" t="str">
        <x:v>Unsupported woodworking-adjacent ideas, unrelated non-woodworking ideas, checkbox missing.</x:v>
      </x:c>
      <x:c r="H10" s="6" t="str">
        <x:v>natural-language-intake.test.ts; project-form-routes.test.ts</x:v>
      </x:c>
      <x:c r="I10" s="6" t="str">
        <x:v>Ready</x:v>
      </x:c>
      <x:c r="J10" s="6" t="str">
        <x:v>Pass</x:v>
      </x:c>
      <x:c r="K10" s="6"/>
      <x:c r="L10" s="6" t="str">
        <x:v>Not Required</x:v>
      </x:c>
      <x:c r="M10" s="6" t="str">
        <x:v>Pass</x:v>
      </x:c>
      <x:c r="N10" s="6" t="str">
        <x:v>2026-06-24</x:v>
      </x:c>
    </x:row>
    <x:row r="11">
      <x:c r="A11" s="6" t="str">
        <x:v>BS-US-010</x:v>
      </x:c>
      <x:c r="B11" s="6" t="str">
        <x:v>Project Intake</x:v>
      </x:c>
      <x:c r="C11" s="6" t="str">
        <x:v>Safety-blocked draft protection</x:v>
      </x:c>
      <x:c r="D11" s="6" t="str">
        <x:v>As a user, I am blocked from saving safety-sensitive natural-language drafts as build setups.</x:v>
      </x:c>
      <x:c r="E11" s="6" t="str">
        <x:v>Blocked natural-language drafts redirect to blocked_idea and preserve draft review notes; createProject is not called.</x:v>
      </x:c>
      <x:c r="F11" s="6" t="str">
        <x:v>app/projects/create/route.ts; app/projects/new/page.tsx; lib/projects/natural-language-intake.ts</x:v>
      </x:c>
      <x:c r="G11" s="6" t="str">
        <x:v>Cribs, ladders, seating, overhead storage, child sleep/climbing hazards.</x:v>
      </x:c>
      <x:c r="H11" s="6" t="str">
        <x:v>natural-language-intake.test.ts; clarification-gate.test.ts</x:v>
      </x:c>
      <x:c r="I11" s="6" t="str">
        <x:v>Ready</x:v>
      </x:c>
      <x:c r="J11" s="6" t="str">
        <x:v>Pass</x:v>
      </x:c>
      <x:c r="K11" s="6"/>
      <x:c r="L11" s="6" t="str">
        <x:v>Not Required</x:v>
      </x:c>
      <x:c r="M11" s="6" t="str">
        <x:v>Pass</x:v>
      </x:c>
      <x:c r="N11" s="6" t="str">
        <x:v>2026-06-24</x:v>
      </x:c>
    </x:row>
    <x:row r="12">
      <x:c r="A12" s="6" t="str">
        <x:v>BS-US-011</x:v>
      </x:c>
      <x:c r="B12" s="6" t="str">
        <x:v>Project Intake</x:v>
      </x:c>
      <x:c r="C12" s="6" t="str">
        <x:v>Draft preservation on invalid create</x:v>
      </x:c>
      <x:c r="D12" s="6" t="str">
        <x:v>As a user, I do not lose entered setup fields after submitting invalid intake.</x:v>
      </x:c>
      <x:c r="E12" s="6" t="str">
        <x:v>Invalid intake redirects to /projects/new?error=invalid_intake and stores the attempted draft in a short-lived HTTP-only cookie.</x:v>
      </x:c>
      <x:c r="F12" s="6" t="str">
        <x:v>app/projects/create/route.ts; lib/projects/intake-draft.ts</x:v>
      </x:c>
      <x:c r="G12" s="6" t="str">
        <x:v>Schema errors, natural-language draft metadata preservation, cookie max age.</x:v>
      </x:c>
      <x:c r="H12" s="6" t="str">
        <x:v>project-form-routes.test.ts</x:v>
      </x:c>
      <x:c r="I12" s="6" t="str">
        <x:v>Ready</x:v>
      </x:c>
      <x:c r="J12" s="6" t="str">
        <x:v>Pass</x:v>
      </x:c>
      <x:c r="K12" s="6"/>
      <x:c r="L12" s="6" t="str">
        <x:v>Not Required</x:v>
      </x:c>
      <x:c r="M12" s="6" t="str">
        <x:v>Pass</x:v>
      </x:c>
      <x:c r="N12" s="6" t="str">
        <x:v>2026-06-24</x:v>
      </x:c>
    </x:row>
    <x:row r="13">
      <x:c r="A13" s="6" t="str">
        <x:v>BS-US-012</x:v>
      </x:c>
      <x:c r="B13" s="6" t="str">
        <x:v>Project Intake</x:v>
      </x:c>
      <x:c r="C13" s="6" t="str">
        <x:v>Shelf layout inputs</x:v>
      </x:c>
      <x:c r="D13" s="6" t="str">
        <x:v>As a shelf planner, I can specify single shelf, separate shelves, or connected unit plus count, spacing, and height.</x:v>
      </x:c>
      <x:c r="E13" s="6" t="str">
        <x:v>Shelf layout fields are only persisted for simple_shelf projects; multi-shelf layouts require valid count where routes enforce it.</x:v>
      </x:c>
      <x:c r="F13" s="6" t="str">
        <x:v>app/projects/new/page.tsx; app/projects/[id]/shelf-layout/route.ts; lib/projects/types.ts</x:v>
      </x:c>
      <x:c r="G13" s="6" t="str">
        <x:v>Missing count, impossible connected-unit height, separate shelves should not fail connected-unit height checks.</x:v>
      </x:c>
      <x:c r="H13" s="6" t="str">
        <x:v>project-shelf-layout-route.test.ts; shelf-layout-validation tests; readiness-friction e2e</x:v>
      </x:c>
      <x:c r="I13" s="6" t="str">
        <x:v>Ready</x:v>
      </x:c>
      <x:c r="J13" s="6" t="str">
        <x:v>Pass</x:v>
      </x:c>
      <x:c r="K13" s="6"/>
      <x:c r="L13" s="6" t="str">
        <x:v>Not Required</x:v>
      </x:c>
      <x:c r="M13" s="6" t="str">
        <x:v>Pass</x:v>
      </x:c>
      <x:c r="N13" s="6" t="str">
        <x:v>2026-06-24</x:v>
      </x:c>
    </x:row>
    <x:row r="14">
      <x:c r="A14" s="6" t="str">
        <x:v>BS-US-013</x:v>
      </x:c>
      <x:c r="B14" s="6" t="str">
        <x:v>Project Intake</x:v>
      </x:c>
      <x:c r="C14" s="6" t="str">
        <x:v>Mounting and safety context capture</x:v>
      </x:c>
      <x:c r="D14" s="6" t="str">
        <x:v>As a wall-shelf user, I can capture mounting method, wall type, stud access, load, moisture, location, support count, risk spots, and obstructions.</x:v>
      </x:c>
      <x:c r="E14" s="6" t="str">
        <x:v>The form serializes these fields into managed Structured Intake text that downstream deterministic adapters can parse.</x:v>
      </x:c>
      <x:c r="F14" s="6" t="str">
        <x:v>app/projects/new/page.tsx; lib/projects/types.ts; lib/projects/managed-intake-sections.ts; lib/projects/project-intake-signals.ts</x:v>
      </x:c>
      <x:c r="G14" s="6" t="str">
        <x:v>Not sure values, not wall mounted, bathroom humidity, heavy load, support count.</x:v>
      </x:c>
      <x:c r="H14" s="6" t="str">
        <x:v>managed-intake-sections.test.ts; project-intake-signals.test.ts; create-build-model-draft.test.ts</x:v>
      </x:c>
      <x:c r="I14" s="6" t="str">
        <x:v>Ready</x:v>
      </x:c>
      <x:c r="J14" s="6" t="str">
        <x:v>Pass</x:v>
      </x:c>
      <x:c r="K14" s="6"/>
      <x:c r="L14" s="6" t="str">
        <x:v>Not Required</x:v>
      </x:c>
      <x:c r="M14" s="6" t="str">
        <x:v>Pass</x:v>
      </x:c>
      <x:c r="N14" s="6" t="str">
        <x:v>2026-06-24</x:v>
      </x:c>
    </x:row>
    <x:row r="15">
      <x:c r="A15" s="6" t="str">
        <x:v>BS-US-014</x:v>
      </x:c>
      <x:c r="B15" s="6" t="str">
        <x:v>Project Intake</x:v>
      </x:c>
      <x:c r="C15" s="6" t="str">
        <x:v>High-risk spot exclusivity</x:v>
      </x:c>
      <x:c r="D15" s="6" t="str">
        <x:v>As a user, I can select risk spots without contradictory none/not-sure combinations.</x:v>
      </x:c>
      <x:c r="E15" s="6" t="str">
        <x:v>Checking none_of_these or not_sure clears other risk spots; selecting a concrete risk clears the exclusive values.</x:v>
      </x:c>
      <x:c r="F15" s="6" t="str">
        <x:v>app/projects/new/ProjectIntakeFormEnhancements.tsx</x:v>
      </x:c>
      <x:c r="G15" s="6" t="str">
        <x:v>Multiple clicks, form change events, persisted default checked values.</x:v>
      </x:c>
      <x:c r="H15" s="6" t="str">
        <x:v>Not directly covered</x:v>
      </x:c>
      <x:c r="I15" s="6" t="str">
        <x:v>Ready</x:v>
      </x:c>
      <x:c r="J15" s="6" t="str">
        <x:v>Pass</x:v>
      </x:c>
      <x:c r="K15" s="6"/>
      <x:c r="L15" s="6" t="str">
        <x:v>Not Required</x:v>
      </x:c>
      <x:c r="M15" s="6" t="str">
        <x:v>Pass</x:v>
      </x:c>
      <x:c r="N15" s="6" t="str">
        <x:v>2026-06-24</x:v>
      </x:c>
    </x:row>
    <x:row r="16">
      <x:c r="A16" s="6" t="str">
        <x:v>BS-US-015</x:v>
      </x:c>
      <x:c r="B16" s="6" t="str">
        <x:v>Project Intake</x:v>
      </x:c>
      <x:c r="C16" s="6" t="str">
        <x:v>Quick-select basic tools</x:v>
      </x:c>
      <x:c r="D16" s="6" t="str">
        <x:v>As a beginner, I can quickly select basic layout and safety tools.</x:v>
      </x:c>
      <x:c r="E16" s="6" t="str">
        <x:v>The quick-select button checks tape measure, pencil, level, and safety glasses, then updates live form summary.</x:v>
      </x:c>
      <x:c r="F16" s="6" t="str">
        <x:v>app/projects/new/ProjectIntakeFormEnhancements.tsx; app/projects/new/ProjectIntakeLiveSummary.tsx</x:v>
      </x:c>
      <x:c r="G16" s="6" t="str">
        <x:v>Button outside expected form, repeated clicks, summary update.</x:v>
      </x:c>
      <x:c r="H16" s="6" t="str">
        <x:v>e2e/readiness-friction.spec.ts</x:v>
      </x:c>
      <x:c r="I16" s="6" t="str">
        <x:v>Ready</x:v>
      </x:c>
      <x:c r="J16" s="6" t="str">
        <x:v>Pass</x:v>
      </x:c>
      <x:c r="K16" s="6"/>
      <x:c r="L16" s="6" t="str">
        <x:v>Not Required</x:v>
      </x:c>
      <x:c r="M16" s="6" t="str">
        <x:v>Pass</x:v>
      </x:c>
      <x:c r="N16" s="6" t="str">
        <x:v>2026-06-24</x:v>
      </x:c>
    </x:row>
    <x:row r="17">
      <x:c r="A17" s="6" t="str">
        <x:v>BS-US-016</x:v>
      </x:c>
      <x:c r="B17" s="6" t="str">
        <x:v>Project Intake</x:v>
      </x:c>
      <x:c r="C17" s="6" t="str">
        <x:v>Live review summary</x:v>
      </x:c>
      <x:c r="D17" s="6" t="str">
        <x:v>As a user, I can see missing required info and later review items before saving.</x:v>
      </x:c>
      <x:c r="E17" s="6" t="str">
        <x:v>Client summary updates on input/change, lists missing title/dimensions/thickness/material/tools, review items, readiness chips, and submit label.</x:v>
      </x:c>
      <x:c r="F17" s="6" t="str">
        <x:v>app/projects/new/ProjectIntakeLiveSummary.tsx</x:v>
      </x:c>
      <x:c r="G17" s="6" t="str">
        <x:v>Required vs review-only, measurement confidence, heavy load, no tools.</x:v>
      </x:c>
      <x:c r="H17" s="6" t="str">
        <x:v>e2e/readiness-friction.spec.ts partially</x:v>
      </x:c>
      <x:c r="I17" s="6" t="str">
        <x:v>Ready</x:v>
      </x:c>
      <x:c r="J17" s="6" t="str">
        <x:v>Pass</x:v>
      </x:c>
      <x:c r="K17" s="6"/>
      <x:c r="L17" s="6" t="str">
        <x:v>Not Required</x:v>
      </x:c>
      <x:c r="M17" s="6" t="str">
        <x:v>Pass</x:v>
      </x:c>
      <x:c r="N17" s="6" t="str">
        <x:v>2026-06-24</x:v>
      </x:c>
    </x:row>
    <x:row r="18">
      <x:c r="A18" s="6" t="str">
        <x:v>BS-US-017</x:v>
      </x:c>
      <x:c r="B18" s="6" t="str">
        <x:v>Project Intake</x:v>
      </x:c>
      <x:c r="C18" s="6" t="str">
        <x:v>Create project</x:v>
      </x:c>
      <x:c r="D18" s="6" t="str">
        <x:v>As a user, I can save a valid setup and land on the project detail page.</x:v>
      </x:c>
      <x:c r="E18" s="6" t="str">
        <x:v>Create route parses form data, calculates safety flags through storage, revalidates dashboard/list, clears draft cookie, and redirects to /projects/[id].</x:v>
      </x:c>
      <x:c r="F18" s="6" t="str">
        <x:v>app/projects/create/route.ts; lib/storage/project-store.ts; lib/safety/safety-review.ts</x:v>
      </x:c>
      <x:c r="G18" s="6" t="str">
        <x:v>Invalid intake, natural-language resolution, local/Supabase persistence.</x:v>
      </x:c>
      <x:c r="H18" s="6" t="str">
        <x:v>project-form-routes.test.ts; project-store.test.ts; project-store-supabase-rpc.test.ts</x:v>
      </x:c>
      <x:c r="I18" s="6" t="str">
        <x:v>Ready</x:v>
      </x:c>
      <x:c r="J18" s="6" t="str">
        <x:v>Pass</x:v>
      </x:c>
      <x:c r="K18" s="6"/>
      <x:c r="L18" s="6" t="str">
        <x:v>Not Required</x:v>
      </x:c>
      <x:c r="M18" s="6" t="str">
        <x:v>Pass</x:v>
      </x:c>
      <x:c r="N18" s="6" t="str">
        <x:v>2026-06-24</x:v>
      </x:c>
    </x:row>
    <x:row r="19">
      <x:c r="A19" s="6" t="str">
        <x:v>BS-US-018</x:v>
      </x:c>
      <x:c r="B19" s="6" t="str">
        <x:v>Project List</x:v>
      </x:c>
      <x:c r="C19" s="6" t="str">
        <x:v>Project library filters</x:v>
      </x:c>
      <x:c r="D19" s="6" t="str">
        <x:v>As a user, I can search and filter projects by text, archive state, type, status, plan state, and record state.</x:v>
      </x:c>
      <x:c r="E19" s="6" t="str">
        <x:v>Projects page sorts by updated_at/created_at/title, applies archive filter first, and displays clear filter summaries and no-results states.</x:v>
      </x:c>
      <x:c r="F19" s="6" t="str">
        <x:v>app/projects/page.tsx</x:v>
      </x:c>
      <x:c r="G19" s="6" t="str">
        <x:v>Archived filter, built status, no plan, notes/build-log record, invalid query values.</x:v>
      </x:c>
      <x:c r="H19" s="6" t="str">
        <x:v>project-list-page.test.ts</x:v>
      </x:c>
      <x:c r="I19" s="6" t="str">
        <x:v>Ready</x:v>
      </x:c>
      <x:c r="J19" s="6" t="str">
        <x:v>Pass</x:v>
      </x:c>
      <x:c r="K19" s="6"/>
      <x:c r="L19" s="6" t="str">
        <x:v>Not Required</x:v>
      </x:c>
      <x:c r="M19" s="6" t="str">
        <x:v>Pass</x:v>
      </x:c>
      <x:c r="N19" s="6" t="str">
        <x:v>2026-06-24</x:v>
      </x:c>
    </x:row>
    <x:row r="20">
      <x:c r="A20" s="6" t="str">
        <x:v>BS-US-019</x:v>
      </x:c>
      <x:c r="B20" s="6" t="str">
        <x:v>Project List</x:v>
      </x:c>
      <x:c r="C20" s="6" t="str">
        <x:v>Project list actions and badges</x:v>
      </x:c>
      <x:c r="D20" s="6" t="str">
        <x:v>As a user, I can open, print, review records, archive, or restore from each project row based on state.</x:v>
      </x:c>
      <x:c r="E20" s="6" t="str">
        <x:v>Cards show next-step label, status strip, generated plan count, notes/build-log indicators, print link only when a plan exists, archive or restore action.</x:v>
      </x:c>
      <x:c r="F20" s="6" t="str">
        <x:v>app/projects/page.tsx</x:v>
      </x:c>
      <x:c r="G20" s="6" t="str">
        <x:v>Archived, built, failed generation with/without plan, no generated plan.</x:v>
      </x:c>
      <x:c r="H20" s="6" t="str">
        <x:v>project-list-page.test.ts; project-archive-route.test.ts</x:v>
      </x:c>
      <x:c r="I20" s="6" t="str">
        <x:v>Ready</x:v>
      </x:c>
      <x:c r="J20" s="6" t="str">
        <x:v>Pass</x:v>
      </x:c>
      <x:c r="K20" s="6"/>
      <x:c r="L20" s="6" t="str">
        <x:v>Not Required</x:v>
      </x:c>
      <x:c r="M20" s="6" t="str">
        <x:v>Pass</x:v>
      </x:c>
      <x:c r="N20" s="6" t="str">
        <x:v>2026-06-24</x:v>
      </x:c>
    </x:row>
    <x:row r="21">
      <x:c r="A21" s="6" t="str">
        <x:v>BS-US-020</x:v>
      </x:c>
      <x:c r="B21" s="6" t="str">
        <x:v>Project List</x:v>
      </x:c>
      <x:c r="C21" s="6" t="str">
        <x:v>List-level success and error feedback</x:v>
      </x:c>
      <x:c r="D21" s="6" t="str">
        <x:v>As a user, I see non-technical list messages when archive/restore or route errors occur.</x:v>
      </x:c>
      <x:c r="E21" s="6" t="str">
        <x:v>Known error query strings map to friendly copy; archive/restored query flags show green confirmation.</x:v>
      </x:c>
      <x:c r="F21" s="6" t="str">
        <x:v>app/projects/page.tsx; lib/projects/project-list-errors.ts</x:v>
      </x:c>
      <x:c r="G21" s="6" t="str">
        <x:v>Unknown errors, not found, already archived/not archived.</x:v>
      </x:c>
      <x:c r="H21" s="6" t="str">
        <x:v>project-list-errors.test.ts; project-list-page.test.ts</x:v>
      </x:c>
      <x:c r="I21" s="6" t="str">
        <x:v>Ready</x:v>
      </x:c>
      <x:c r="J21" s="6" t="str">
        <x:v>Pass</x:v>
      </x:c>
      <x:c r="K21" s="6"/>
      <x:c r="L21" s="6" t="str">
        <x:v>Not Required</x:v>
      </x:c>
      <x:c r="M21" s="6" t="str">
        <x:v>Pass</x:v>
      </x:c>
      <x:c r="N21" s="6" t="str">
        <x:v>2026-06-24</x:v>
      </x:c>
    </x:row>
    <x:row r="22">
      <x:c r="A22" s="6" t="str">
        <x:v>BS-US-021</x:v>
      </x:c>
      <x:c r="B22" s="6" t="str">
        <x:v>Project Detail</x:v>
      </x:c>
      <x:c r="C22" s="6" t="str">
        <x:v>No-plan detail state</x:v>
      </x:c>
      <x:c r="D22" s="6" t="str">
        <x:v>As a user, I can review saved intake, readiness, template guidance, notes, and generate action before any plan exists.</x:v>
      </x:c>
      <x:c r="E22" s="6" t="str">
        <x:v>Detail page builds no-plan snapshot from template/build model, shows recommended next step, readiness gate, intake, review triggers, empty plan state, and record section.</x:v>
      </x:c>
      <x:c r="F22" s="6" t="str">
        <x:v>app/projects/[id]/page.tsx; lib/plans/gated-build-packet-snapshot.ts</x:v>
      </x:c>
      <x:c r="G22" s="6" t="str">
        <x:v>Unsupported/concept-only, archived, missing dimensions, no template hint.</x:v>
      </x:c>
      <x:c r="H22" s="6" t="str">
        <x:v>project-detail-build-model.test.ts; project-planning-lifecycle.test.ts</x:v>
      </x:c>
      <x:c r="I22" s="6" t="str">
        <x:v>Ready</x:v>
      </x:c>
      <x:c r="J22" s="6" t="str">
        <x:v>Pass</x:v>
      </x:c>
      <x:c r="K22" s="6"/>
      <x:c r="L22" s="6" t="str">
        <x:v>Not Required</x:v>
      </x:c>
      <x:c r="M22" s="6" t="str">
        <x:v>Pass</x:v>
      </x:c>
      <x:c r="N22" s="6" t="str">
        <x:v>2026-06-24</x:v>
      </x:c>
    </x:row>
    <x:row r="23">
      <x:c r="A23" s="6" t="str">
        <x:v>BS-US-022</x:v>
      </x:c>
      <x:c r="B23" s="6" t="str">
        <x:v>Project Detail</x:v>
      </x:c>
      <x:c r="C23" s="6" t="str">
        <x:v>Clarification gate</x:v>
      </x:c>
      <x:c r="D23" s="6" t="str">
        <x:v>As a user, I see targeted questions before generation when important details are missing or unsafe.</x:v>
      </x:c>
      <x:c r="E23" s="6" t="str">
        <x:v>Clarification gate returns ready/needs_details/blocked/concept/unsupported states, shows answerable questions, and blocks generation when not ready.</x:v>
      </x:c>
      <x:c r="F23" s="6" t="str">
        <x:v>lib/projects/clarification-gate.ts; app/projects/[id]/page.tsx</x:v>
      </x:c>
      <x:c r="G23" s="6" t="str">
        <x:v>Heavy shelves, bathroom humidity, raised planter support, child/electrical, unsupported ideas.</x:v>
      </x:c>
      <x:c r="H23" s="6" t="str">
        <x:v>clarification-gate.test.ts; project-planning-lifecycle.test.ts; e2e/readiness-friction.spec.ts</x:v>
      </x:c>
      <x:c r="I23" s="6" t="str">
        <x:v>Ready</x:v>
      </x:c>
      <x:c r="J23" s="6" t="str">
        <x:v>Pass</x:v>
      </x:c>
      <x:c r="K23" s="6"/>
      <x:c r="L23" s="6" t="str">
        <x:v>Not Required</x:v>
      </x:c>
      <x:c r="M23" s="6" t="str">
        <x:v>Pass</x:v>
      </x:c>
      <x:c r="N23" s="6" t="str">
        <x:v>2026-06-24</x:v>
      </x:c>
    </x:row>
    <x:row r="24">
      <x:c r="A24" s="6" t="str">
        <x:v>BS-US-023</x:v>
      </x:c>
      <x:c r="B24" s="6" t="str">
        <x:v>Project Detail</x:v>
      </x:c>
      <x:c r="C24" s="6" t="str">
        <x:v>Clarification answer update</x:v>
      </x:c>
      <x:c r="D24" s="6" t="str">
        <x:v>As a user, I can answer readiness questions and save them back to Project Intake without creating a plan version.</x:v>
      </x:c>
      <x:c r="E24" s="6" t="str">
        <x:v>Clarification route validates answerable fields, updates structured intake/managed sections, revalidates detail, and redirects with clarification_status.</x:v>
      </x:c>
      <x:c r="F24" s="6" t="str">
        <x:v>app/projects/[id]/clarification/route.ts; lib/projects/clarification-answer-loop.ts</x:v>
      </x:c>
      <x:c r="G24" s="6" t="str">
        <x:v>Empty answers, archived project, missing schema columns, next readiness status.</x:v>
      </x:c>
      <x:c r="H24" s="6" t="str">
        <x:v>clarification-answer-loop.test.ts; project-clarification-route.test.ts</x:v>
      </x:c>
      <x:c r="I24" s="6" t="str">
        <x:v>Ready</x:v>
      </x:c>
      <x:c r="J24" s="6" t="str">
        <x:v>Pass</x:v>
      </x:c>
      <x:c r="K24" s="6"/>
      <x:c r="L24" s="6" t="str">
        <x:v>Not Required</x:v>
      </x:c>
      <x:c r="M24" s="6" t="str">
        <x:v>Pass</x:v>
      </x:c>
      <x:c r="N24" s="6" t="str">
        <x:v>2026-06-24</x:v>
      </x:c>
    </x:row>
    <x:row r="25">
      <x:c r="A25" s="6" t="str">
        <x:v>BS-US-024</x:v>
      </x:c>
      <x:c r="B25" s="6" t="str">
        <x:v>Generation</x:v>
      </x:c>
      <x:c r="C25" s="6" t="str">
        <x:v>Generate plan command</x:v>
      </x:c>
      <x:c r="D25" s="6" t="str">
        <x:v>As a user, I can generate a plan only when the project lifecycle allows it.</x:v>
      </x:c>
      <x:c r="E25" s="6" t="str">
        <x:v>Generate route checks archived state, clarification gate, shelf-layout blockers, then drafts build model, calls structured OpenAI generation, validates, saves latest plan.</x:v>
      </x:c>
      <x:c r="F25" s="6" t="str">
        <x:v>app/projects/[id]/generate/route.ts; lib/projects/project-planning-lifecycle.ts</x:v>
      </x:c>
      <x:c r="G25" s="6" t="str">
        <x:v>Archived, clarification_gate, missing/invalid shelf layout, OpenAI failure, deterministic quality failure.</x:v>
      </x:c>
      <x:c r="H25" s="6" t="str">
        <x:v>generate-route-feedback.test.ts; generation-feedback.test.ts; generate-project-plan.test.ts</x:v>
      </x:c>
      <x:c r="I25" s="6" t="str">
        <x:v>Ready</x:v>
      </x:c>
      <x:c r="J25" s="6" t="str">
        <x:v>Pass</x:v>
      </x:c>
      <x:c r="K25" s="6"/>
      <x:c r="L25" s="6" t="str">
        <x:v>Not Required</x:v>
      </x:c>
      <x:c r="M25" s="6" t="str">
        <x:v>Pass</x:v>
      </x:c>
      <x:c r="N25" s="6" t="str">
        <x:v>2026-06-24</x:v>
      </x:c>
    </x:row>
    <x:row r="26">
      <x:c r="A26" s="6" t="str">
        <x:v>BS-US-025</x:v>
      </x:c>
      <x:c r="B26" s="6" t="str">
        <x:v>Generation</x:v>
      </x:c>
      <x:c r="C26" s="6" t="str">
        <x:v>Generation failure feedback</x:v>
      </x:c>
      <x:c r="D26" s="6" t="str">
        <x:v>As a user, I get specific repair guidance when generation is blocked or fails.</x:v>
      </x:c>
      <x:c r="E26" s="6" t="str">
        <x:v>Known failure reasons render non-technical panels and next actions; archived saves do not mark failed; deterministic failures are safe.</x:v>
      </x:c>
      <x:c r="F26" s="6" t="str">
        <x:v>lib/ai/generation-feedback.ts; app/projects/[id]/page.tsx</x:v>
      </x:c>
      <x:c r="G26" s="6" t="str">
        <x:v>Missing API key, validation/quality failures, archived stale save, impossible shelf height.</x:v>
      </x:c>
      <x:c r="H26" s="6" t="str">
        <x:v>generation-feedback.test.ts; generate-route-feedback.test.ts</x:v>
      </x:c>
      <x:c r="I26" s="6" t="str">
        <x:v>Ready</x:v>
      </x:c>
      <x:c r="J26" s="6" t="str">
        <x:v>Pass</x:v>
      </x:c>
      <x:c r="K26" s="6"/>
      <x:c r="L26" s="6" t="str">
        <x:v>Not Required</x:v>
      </x:c>
      <x:c r="M26" s="6" t="str">
        <x:v>Pass</x:v>
      </x:c>
      <x:c r="N26" s="6" t="str">
        <x:v>2026-06-24</x:v>
      </x:c>
    </x:row>
    <x:row r="27">
      <x:c r="A27" s="6" t="str">
        <x:v>BS-US-026</x:v>
      </x:c>
      <x:c r="B27" s="6" t="str">
        <x:v>Plan Packet</x:v>
      </x:c>
      <x:c r="C27" s="6" t="str">
        <x:v>Core packet order</x:v>
      </x:c>
      <x:c r="D27" s="6" t="str">
        <x:v>As a user, I can read a generated plan in the expected packet order.</x:v>
      </x:c>
      <x:c r="E27" s="6" t="str">
        <x:v>Detail plan order is Build Snapshot, Hero Visual, Project Visuals / Diagrams, Check Before Building, Materials and Parts, Cut Checklist, Buying Plan, Build Guide, Reference Review Notes.</x:v>
      </x:c>
      <x:c r="F27" s="6" t="str">
        <x:v>app/projects/[id]/page.tsx; lib/plans/printable-plan-packet.ts</x:v>
      </x:c>
      <x:c r="G27" s="6" t="str">
        <x:v>No generated plan, unresolved dimensions, mobile horizontal cut table.</x:v>
      </x:c>
      <x:c r="H27" s="6" t="str">
        <x:v>plan-packet-contract.test.ts; e2e/packet-smoke.spec.ts</x:v>
      </x:c>
      <x:c r="I27" s="6" t="str">
        <x:v>Ready</x:v>
      </x:c>
      <x:c r="J27" s="6" t="str">
        <x:v>Pass</x:v>
      </x:c>
      <x:c r="K27" s="6"/>
      <x:c r="L27" s="6" t="str">
        <x:v>Not Required</x:v>
      </x:c>
      <x:c r="M27" s="6" t="str">
        <x:v>Pass</x:v>
      </x:c>
      <x:c r="N27" s="6" t="str">
        <x:v>2026-06-24</x:v>
      </x:c>
    </x:row>
    <x:row r="28">
      <x:c r="A28" s="6" t="str">
        <x:v>BS-US-027</x:v>
      </x:c>
      <x:c r="B28" s="6" t="str">
        <x:v>Plan Packet</x:v>
      </x:c>
      <x:c r="C28" s="6" t="str">
        <x:v>Hero visual and diagrams</x:v>
      </x:c>
      <x:c r="D28" s="6" t="str">
        <x:v>As a builder, I can see deterministic visuals that reflect structured build data rather than prose.</x:v>
      </x:c>
      <x:c r="E28" s="6" t="str">
        <x:v>Wall shelf and planter visuals use deterministic view models/renderers and safe fallbacks when geometry is missing.</x:v>
      </x:c>
      <x:c r="F28" s="6" t="str">
        <x:v>app/projects/[id]/PlanPacketSections.tsx; app/projects/[id]/WallShelfDiagrams.tsx; app/projects/[id]/PlanterBoxCutDiagram.tsx; lib/plans/*diagram*</x:v>
      </x:c>
      <x:c r="G28" s="6" t="str">
        <x:v>Missing dimensions, invalid multi-shelf height, unresolved support/frame, print compatibility.</x:v>
      </x:c>
      <x:c r="H28" s="6" t="str">
        <x:v>wall-shelf-diagrams-render.test.ts; wall-shelf-diagram-view-model.test.ts; planter-box-packet-view-models.test.ts; e2e/packet-smoke.spec.ts</x:v>
      </x:c>
      <x:c r="I28" s="6" t="str">
        <x:v>Ready</x:v>
      </x:c>
      <x:c r="J28" s="6" t="str">
        <x:v>Pass</x:v>
      </x:c>
      <x:c r="K28" s="6"/>
      <x:c r="L28" s="6" t="str">
        <x:v>Not Required</x:v>
      </x:c>
      <x:c r="M28" s="6" t="str">
        <x:v>Pass</x:v>
      </x:c>
      <x:c r="N28" s="6" t="str">
        <x:v>2026-06-24</x:v>
      </x:c>
    </x:row>
    <x:row r="29">
      <x:c r="A29" s="6" t="str">
        <x:v>BS-US-028</x:v>
      </x:c>
      <x:c r="B29" s="6" t="str">
        <x:v>Plan Packet</x:v>
      </x:c>
      <x:c r="C29" s="6" t="str">
        <x:v>Material summary</x:v>
      </x:c>
      <x:c r="D29" s="6" t="str">
        <x:v>As a user, I can review primary materials, hardware, finish supplies, and assumptions before buying.</x:v>
      </x:c>
      <x:c r="E29" s="6" t="str">
        <x:v>Material summary groups plan/build-model materials and shows calm review notes when material data is missing or vague.</x:v>
      </x:c>
      <x:c r="F29" s="6" t="str">
        <x:v>lib/plans/material-summary.ts; app/projects/[id]/page.tsx</x:v>
      </x:c>
      <x:c r="G29" s="6" t="str">
        <x:v>Missing material, hardware placeholders, finish-only notes.</x:v>
      </x:c>
      <x:c r="H29" s="6" t="str">
        <x:v>material-summary.test.ts; printable-plan-manifest.test.ts</x:v>
      </x:c>
      <x:c r="I29" s="6" t="str">
        <x:v>Ready</x:v>
      </x:c>
      <x:c r="J29" s="6" t="str">
        <x:v>Pass</x:v>
      </x:c>
      <x:c r="K29" s="6"/>
      <x:c r="L29" s="6" t="str">
        <x:v>Not Required</x:v>
      </x:c>
      <x:c r="M29" s="6" t="str">
        <x:v>Pass</x:v>
      </x:c>
      <x:c r="N29" s="6" t="str">
        <x:v>2026-06-24</x:v>
      </x:c>
    </x:row>
    <x:row r="30">
      <x:c r="A30" s="6" t="str">
        <x:v>BS-US-029</x:v>
      </x:c>
      <x:c r="B30" s="6" t="str">
        <x:v>Plan Packet</x:v>
      </x:c>
      <x:c r="C30" s="6" t="str">
        <x:v>Cut list review</x:v>
      </x:c>
      <x:c r="D30" s="6" t="str">
        <x:v>As a user, I can verify piece counts, dimensions, material, duplicates, and missing measurements before cutting.</x:v>
      </x:c>
      <x:c r="E30" s="6" t="str">
        <x:v>Cut-list review reconciles generated cuts and build-model pieces, flags missing/unresolved/placeholder dimensions, duplicate-looking rows, and unsafe cutting states.</x:v>
      </x:c>
      <x:c r="F30" s="6" t="str">
        <x:v>lib/plans/cut-list-review.ts; app/projects/[id]/page.tsx</x:v>
      </x:c>
      <x:c r="G30" s="6" t="str">
        <x:v>Empty generated cut list, duplicate pieces, unresolved dimensions, suspicious quantity.</x:v>
      </x:c>
      <x:c r="H30" s="6" t="str">
        <x:v>cut-list-review.test.ts; printable-plan-manifest.test.ts</x:v>
      </x:c>
      <x:c r="I30" s="6" t="str">
        <x:v>Ready</x:v>
      </x:c>
      <x:c r="J30" s="6" t="str">
        <x:v>Pass</x:v>
      </x:c>
      <x:c r="K30" s="6"/>
      <x:c r="L30" s="6" t="str">
        <x:v>Not Required</x:v>
      </x:c>
      <x:c r="M30" s="6" t="str">
        <x:v>Pass</x:v>
      </x:c>
      <x:c r="N30" s="6" t="str">
        <x:v>2026-06-24</x:v>
      </x:c>
    </x:row>
    <x:row r="31">
      <x:c r="A31" s="6" t="str">
        <x:v>BS-US-030</x:v>
      </x:c>
      <x:c r="B31" s="6" t="str">
        <x:v>Plan Packet</x:v>
      </x:c>
      <x:c r="C31" s="6" t="str">
        <x:v>Plan review and export readiness</x:v>
      </x:c>
      <x:c r="D31" s="6" t="str">
        <x:v>As a user, I can see plan quality and future-output readiness without mistaking it for an export feature.</x:v>
      </x:c>
      <x:c r="E31" s="6" t="str">
        <x:v>Plan Review and Export Readiness summarize deterministic warnings/blockers and explicitly avoid app-generated PDF/CAD/DXF promises.</x:v>
      </x:c>
      <x:c r="F31" s="6" t="str">
        <x:v>lib/plans/plan-quality.ts; lib/plans/export-readiness.ts; app/projects/[id]/page.tsx</x:v>
      </x:c>
      <x:c r="G31" s="6" t="str">
        <x:v>Derived build model, limited confidence, unsupported output candidates.</x:v>
      </x:c>
      <x:c r="H31" s="6" t="str">
        <x:v>plan-quality.test.ts; export-readiness.test.ts</x:v>
      </x:c>
      <x:c r="I31" s="6" t="str">
        <x:v>Ready</x:v>
      </x:c>
      <x:c r="J31" s="6" t="str">
        <x:v>Pass</x:v>
      </x:c>
      <x:c r="K31" s="6"/>
      <x:c r="L31" s="6" t="str">
        <x:v>Not Required</x:v>
      </x:c>
      <x:c r="M31" s="6" t="str">
        <x:v>Pass</x:v>
      </x:c>
      <x:c r="N31" s="6" t="str">
        <x:v>2026-06-24</x:v>
      </x:c>
    </x:row>
    <x:row r="32">
      <x:c r="A32" s="6" t="str">
        <x:v>BS-US-031</x:v>
      </x:c>
      <x:c r="B32" s="6" t="str">
        <x:v>Plan Packet</x:v>
      </x:c>
      <x:c r="C32" s="6" t="str">
        <x:v>Action checklist</x:v>
      </x:c>
      <x:c r="D32" s="6" t="str">
        <x:v>As a user, I get prioritized review actions before buying, cutting, mounting, or building.</x:v>
      </x:c>
      <x:c r="E32" s="6" t="str">
        <x:v>Checklist derives required/review/optional actions from safety, mounting, hardware, material, cut-list, and unresolved questions with planning-aid copy.</x:v>
      </x:c>
      <x:c r="F32" s="6" t="str">
        <x:v>lib/plans/plan-action-checklist.ts; app/projects/[id]/PlanActionChecklist.tsx</x:v>
      </x:c>
      <x:c r="G32" s="6" t="str">
        <x:v>Hardware-only unknowns, child/outdoor/load triggers, no specific signals.</x:v>
      </x:c>
      <x:c r="H32" s="6" t="str">
        <x:v>plan-action-checklist.test.ts</x:v>
      </x:c>
      <x:c r="I32" s="6" t="str">
        <x:v>Ready</x:v>
      </x:c>
      <x:c r="J32" s="6" t="str">
        <x:v>Pass</x:v>
      </x:c>
      <x:c r="K32" s="6"/>
      <x:c r="L32" s="6" t="str">
        <x:v>Not Required</x:v>
      </x:c>
      <x:c r="M32" s="6" t="str">
        <x:v>Pass</x:v>
      </x:c>
      <x:c r="N32" s="6" t="str">
        <x:v>2026-06-24</x:v>
      </x:c>
    </x:row>
    <x:row r="33">
      <x:c r="A33" s="6" t="str">
        <x:v>BS-US-032</x:v>
      </x:c>
      <x:c r="B33" s="6" t="str">
        <x:v>Plan Packet</x:v>
      </x:c>
      <x:c r="C33" s="6" t="str">
        <x:v>Advanced project details</x:v>
      </x:c>
      <x:c r="D33" s="6" t="str">
        <x:v>As a user, I can inspect intake, template guidance, build model, plan review, history, and records without cluttering the primary packet.</x:v>
      </x:c>
      <x:c r="E33" s="6" t="str">
        <x:v>Advanced details are in a disclosure once a plan exists and include actions, nav, intake, triggers, template guidance, build model, review panels, tweak, comparison, history, and records.</x:v>
      </x:c>
      <x:c r="F33" s="6" t="str">
        <x:v>app/projects/[id]/page.tsx</x:v>
      </x:c>
      <x:c r="G33" s="6" t="str">
        <x:v>Disclosure content order, archived projects, no latest plan.</x:v>
      </x:c>
      <x:c r="H33" s="6" t="str">
        <x:v>project-detail-build-model.test.ts; print-preview-page.test.ts partially</x:v>
      </x:c>
      <x:c r="I33" s="6" t="str">
        <x:v>Ready</x:v>
      </x:c>
      <x:c r="J33" s="6" t="str">
        <x:v>Pass</x:v>
      </x:c>
      <x:c r="K33" s="6"/>
      <x:c r="L33" s="6" t="str">
        <x:v>Not Required</x:v>
      </x:c>
      <x:c r="M33" s="6" t="str">
        <x:v>Pass</x:v>
      </x:c>
      <x:c r="N33" s="6" t="str">
        <x:v>2026-06-24</x:v>
      </x:c>
    </x:row>
    <x:row r="34">
      <x:c r="A34" s="6" t="str">
        <x:v>BS-US-033</x:v>
      </x:c>
      <x:c r="B34" s="6" t="str">
        <x:v>Plan History</x:v>
      </x:c>
      <x:c r="C34" s="6" t="str">
        <x:v>Plan versions and comparison</x:v>
      </x:c>
      <x:c r="D34" s="6" t="str">
        <x:v>As a user, I can compare the latest plan with older versions and understand practical changes.</x:v>
      </x:c>
      <x:c r="E34" s="6" t="str">
        <x:v>Saved plans are versioned, latest is selected deterministically, older versions can be compared with calm no-change copy.</x:v>
      </x:c>
      <x:c r="F34" s="6" t="str">
        <x:v>lib/plans/plan-comparison.ts; app/projects/[id]/page.tsx; lib/storage/project-store.ts</x:v>
      </x:c>
      <x:c r="G34" s="6" t="str">
        <x:v>Only one version, latest-attempt failed with saved plan, older plan selected by query.</x:v>
      </x:c>
      <x:c r="H34" s="6" t="str">
        <x:v>plan-comparison.test.ts; project-store.test.ts</x:v>
      </x:c>
      <x:c r="I34" s="6" t="str">
        <x:v>Ready</x:v>
      </x:c>
      <x:c r="J34" s="6" t="str">
        <x:v>Pass</x:v>
      </x:c>
      <x:c r="K34" s="6"/>
      <x:c r="L34" s="6" t="str">
        <x:v>Not Required</x:v>
      </x:c>
      <x:c r="M34" s="6" t="str">
        <x:v>Pass</x:v>
      </x:c>
      <x:c r="N34" s="6" t="str">
        <x:v>2026-06-24</x:v>
      </x:c>
    </x:row>
    <x:row r="35">
      <x:c r="A35" s="6" t="str">
        <x:v>BS-US-034</x:v>
      </x:c>
      <x:c r="B35" s="6" t="str">
        <x:v>Revision</x:v>
      </x:c>
      <x:c r="C35" s="6" t="str">
        <x:v>Direct plan revision</x:v>
      </x:c>
      <x:c r="D35" s="6" t="str">
        <x:v>As a user, I can request a safe prose-only plan tweak and receive a new saved version.</x:v>
      </x:c>
      <x:c r="E35" s="6" t="str">
        <x:v>Revision route normalizes input, requires latest plan, classifies intent, calls revised structured generation, saves new latest plan, and redirects to comparison.</x:v>
      </x:c>
      <x:c r="F35" s="6" t="str">
        <x:v>app/projects/[id]/revise/route.ts; lib/plans/revision-intent.ts</x:v>
      </x:c>
      <x:c r="G35" s="6" t="str">
        <x:v>Empty, too long, no plan, archived, generation failure.</x:v>
      </x:c>
      <x:c r="H35" s="6" t="str">
        <x:v>tweak-plan-route.test.ts; revision-intent.test.ts</x:v>
      </x:c>
      <x:c r="I35" s="6" t="str">
        <x:v>Ready</x:v>
      </x:c>
      <x:c r="J35" s="6" t="str">
        <x:v>Pass</x:v>
      </x:c>
      <x:c r="K35" s="6"/>
      <x:c r="L35" s="6" t="str">
        <x:v>Not Required</x:v>
      </x:c>
      <x:c r="M35" s="6" t="str">
        <x:v>Pass</x:v>
      </x:c>
      <x:c r="N35" s="6" t="str">
        <x:v>2026-06-24</x:v>
      </x:c>
    </x:row>
    <x:row r="36">
      <x:c r="A36" s="6" t="str">
        <x:v>BS-US-035</x:v>
      </x:c>
      <x:c r="B36" s="6" t="str">
        <x:v>Revision</x:v>
      </x:c>
      <x:c r="C36" s="6" t="str">
        <x:v>Structured revision intake patch</x:v>
      </x:c>
      <x:c r="D36" s="6" t="str">
        <x:v>As a user, I can request safe explicit dimension/material/layout changes and have Project Intake updated before regeneration.</x:v>
      </x:c>
      <x:c r="E36" s="6" t="str">
        <x:v>Width, depth, material, material thickness, shelf layout/count/spacing requests patch structured intake and do not create a plan version.</x:v>
      </x:c>
      <x:c r="F36" s="6" t="str">
        <x:v>app/projects/[id]/revise/route.ts; lib/projects/project-intake-revision.ts</x:v>
      </x:c>
      <x:c r="G36" s="6" t="str">
        <x:v>Unparseable structured request, stale archive during update, clarification status after patch.</x:v>
      </x:c>
      <x:c r="H36" s="6" t="str">
        <x:v>tweak-plan-route.test.ts; project-intake-revision.test.ts</x:v>
      </x:c>
      <x:c r="I36" s="6" t="str">
        <x:v>Ready</x:v>
      </x:c>
      <x:c r="J36" s="6" t="str">
        <x:v>Pass</x:v>
      </x:c>
      <x:c r="K36" s="6"/>
      <x:c r="L36" s="6" t="str">
        <x:v>Not Required</x:v>
      </x:c>
      <x:c r="M36" s="6" t="str">
        <x:v>Pass</x:v>
      </x:c>
      <x:c r="N36" s="6" t="str">
        <x:v>2026-06-24</x:v>
      </x:c>
    </x:row>
    <x:row r="37">
      <x:c r="A37" s="6" t="str">
        <x:v>BS-US-036</x:v>
      </x:c>
      <x:c r="B37" s="6" t="str">
        <x:v>Revision</x:v>
      </x:c>
      <x:c r="C37" s="6" t="str">
        <x:v>Blocked revision categories</x:v>
      </x:c>
      <x:c r="D37" s="6" t="str">
        <x:v>As a user, I am redirected away from unsafe or ambiguous revision requests instead of getting an untrustworthy plan.</x:v>
      </x:c>
      <x:c r="E37" s="6" t="str">
        <x:v>Support/mounting approvals, cut-list requests, safety-sensitive, ambiguous, unsupported, and mixed unsafe requests are blocked or redirected with category labels.</x:v>
      </x:c>
      <x:c r="F37" s="6" t="str">
        <x:v>lib/plans/revision-intent.ts; app/projects/[id]/revise/route.ts</x:v>
      </x:c>
      <x:c r="G37" s="6" t="str">
        <x:v>Mixed safety and structured, vague structural changes, support claims.</x:v>
      </x:c>
      <x:c r="H37" s="6" t="str">
        <x:v>revision-intent.test.ts; tweak-plan-route.test.ts</x:v>
      </x:c>
      <x:c r="I37" s="6" t="str">
        <x:v>Ready</x:v>
      </x:c>
      <x:c r="J37" s="6" t="str">
        <x:v>Pass</x:v>
      </x:c>
      <x:c r="K37" s="6"/>
      <x:c r="L37" s="6" t="str">
        <x:v>Not Required</x:v>
      </x:c>
      <x:c r="M37" s="6" t="str">
        <x:v>Pass</x:v>
      </x:c>
      <x:c r="N37" s="6" t="str">
        <x:v>2026-06-24</x:v>
      </x:c>
    </x:row>
    <x:row r="38">
      <x:c r="A38" s="6" t="str">
        <x:v>BS-US-037</x:v>
      </x:c>
      <x:c r="B38" s="6" t="str">
        <x:v>Project Record</x:v>
      </x:c>
      <x:c r="C38" s="6" t="str">
        <x:v>Project notes</x:v>
      </x:c>
      <x:c r="D38" s="6" t="str">
        <x:v>As a user, I can save private notes on a project without affecting generated plans.</x:v>
      </x:c>
      <x:c r="E38" s="6" t="str">
        <x:v>Notes route saves plain text up to schema limit, redirects with success, blocks archived/stale archived writes.</x:v>
      </x:c>
      <x:c r="F38" s="6" t="str">
        <x:v>app/projects/[id]/notes/route.ts; lib/storage/project-store.ts</x:v>
      </x:c>
      <x:c r="G38" s="6" t="str">
        <x:v>Missing project, archived, stale archived no-op, storage failure.</x:v>
      </x:c>
      <x:c r="H38" s="6" t="str">
        <x:v>project-notes-route.test.ts; project-store.test.ts</x:v>
      </x:c>
      <x:c r="I38" s="6" t="str">
        <x:v>Ready</x:v>
      </x:c>
      <x:c r="J38" s="6" t="str">
        <x:v>Pass</x:v>
      </x:c>
      <x:c r="K38" s="6"/>
      <x:c r="L38" s="6" t="str">
        <x:v>Not Required</x:v>
      </x:c>
      <x:c r="M38" s="6" t="str">
        <x:v>Pass</x:v>
      </x:c>
      <x:c r="N38" s="6" t="str">
        <x:v>2026-06-24</x:v>
      </x:c>
    </x:row>
    <x:row r="39">
      <x:c r="A39" s="6" t="str">
        <x:v>BS-US-038</x:v>
      </x:c>
      <x:c r="B39" s="6" t="str">
        <x:v>Project Record</x:v>
      </x:c>
      <x:c r="C39" s="6" t="str">
        <x:v>Build log</x:v>
      </x:c>
      <x:c r="D39" s="6" t="str">
        <x:v>As a user, I can record completion, actual material, changes, and lessons learned.</x:v>
      </x:c>
      <x:c r="E39" s="6" t="str">
        <x:v>Build-log route parses checkbox/date/text fields, updates project record, redirects with success, and blocks archived writes.</x:v>
      </x:c>
      <x:c r="F39" s="6" t="str">
        <x:v>app/projects/[id]/build-log/route.ts; lib/projects/types.ts; lib/storage/project-store.ts</x:v>
      </x:c>
      <x:c r="G39" s="6" t="str">
        <x:v>Blank date, completed true/false, archived, schema bounds.</x:v>
      </x:c>
      <x:c r="H39" s="6" t="str">
        <x:v>project-build-log-route.test.ts; project-store.test.ts</x:v>
      </x:c>
      <x:c r="I39" s="6" t="str">
        <x:v>Ready</x:v>
      </x:c>
      <x:c r="J39" s="6" t="str">
        <x:v>Pass</x:v>
      </x:c>
      <x:c r="K39" s="6"/>
      <x:c r="L39" s="6" t="str">
        <x:v>Not Required</x:v>
      </x:c>
      <x:c r="M39" s="6" t="str">
        <x:v>Pass</x:v>
      </x:c>
      <x:c r="N39" s="6" t="str">
        <x:v>2026-06-24</x:v>
      </x:c>
    </x:row>
    <x:row r="40">
      <x:c r="A40" s="6" t="str">
        <x:v>BS-US-039</x:v>
      </x:c>
      <x:c r="B40" s="6" t="str">
        <x:v>Project Lifecycle</x:v>
      </x:c>
      <x:c r="C40" s="6" t="str">
        <x:v>Duplicate project</x:v>
      </x:c>
      <x:c r="D40" s="6" t="str">
        <x:v>As a user, I can duplicate a project setup without copying generated plan history.</x:v>
      </x:c>
      <x:c r="E40" s="6" t="str">
        <x:v>Duplicate route copies intake as a fresh draft, preserves no generated plans/history, blocks archived sources, redirects to the duplicate detail.</x:v>
      </x:c>
      <x:c r="F40" s="6" t="str">
        <x:v>app/projects/[id]/duplicate/route.ts; lib/storage/project-store.ts</x:v>
      </x:c>
      <x:c r="G40" s="6" t="str">
        <x:v>Source missing, archived/stale archived, Supabase duplicate fields.</x:v>
      </x:c>
      <x:c r="H40" s="6" t="str">
        <x:v>duplicate-project-route.test.ts; project-store.test.ts; project-store-duplicate-supabase.test.ts</x:v>
      </x:c>
      <x:c r="I40" s="6" t="str">
        <x:v>Ready</x:v>
      </x:c>
      <x:c r="J40" s="6" t="str">
        <x:v>Pass</x:v>
      </x:c>
      <x:c r="K40" s="6"/>
      <x:c r="L40" s="6" t="str">
        <x:v>Not Required</x:v>
      </x:c>
      <x:c r="M40" s="6" t="str">
        <x:v>Pass</x:v>
      </x:c>
      <x:c r="N40" s="6" t="str">
        <x:v>2026-06-24</x:v>
      </x:c>
    </x:row>
    <x:row r="41">
      <x:c r="A41" s="6" t="str">
        <x:v>BS-US-040</x:v>
      </x:c>
      <x:c r="B41" s="6" t="str">
        <x:v>Project Lifecycle</x:v>
      </x:c>
      <x:c r="C41" s="6" t="str">
        <x:v>Archive project</x:v>
      </x:c>
      <x:c r="D41" s="6" t="str">
        <x:v>As a user, I can hide inactive projects without deleting their data or plans.</x:v>
      </x:c>
      <x:c r="E41" s="6" t="str">
        <x:v>Archive sets archived_at, hides from active list/dashboard, preserves generated plans/records, blocks repeat archive, and revalidates routes.</x:v>
      </x:c>
      <x:c r="F41" s="6" t="str">
        <x:v>app/projects/[id]/archive/route.ts; lib/projects/project-planning-lifecycle.ts; lib/storage/project-store.ts</x:v>
      </x:c>
      <x:c r="G41" s="6" t="str">
        <x:v>List vs detail return_to, already archived, missing project, storage failure.</x:v>
      </x:c>
      <x:c r="H41" s="6" t="str">
        <x:v>project-archive-route.test.ts; project-planning-lifecycle.test.ts; project-store.test.ts</x:v>
      </x:c>
      <x:c r="I41" s="6" t="str">
        <x:v>Ready</x:v>
      </x:c>
      <x:c r="J41" s="6" t="str">
        <x:v>Pass</x:v>
      </x:c>
      <x:c r="K41" s="6"/>
      <x:c r="L41" s="6" t="str">
        <x:v>Not Required</x:v>
      </x:c>
      <x:c r="M41" s="6" t="str">
        <x:v>Pass</x:v>
      </x:c>
      <x:c r="N41" s="6" t="str">
        <x:v>2026-06-24</x:v>
      </x:c>
    </x:row>
    <x:row r="42">
      <x:c r="A42" s="6" t="str">
        <x:v>BS-US-041</x:v>
      </x:c>
      <x:c r="B42" s="6" t="str">
        <x:v>Project Lifecycle</x:v>
      </x:c>
      <x:c r="C42" s="6" t="str">
        <x:v>Restore project</x:v>
      </x:c>
      <x:c r="D42" s="6" t="str">
        <x:v>As a user, I can return an archived project to the active workspace.</x:v>
      </x:c>
      <x:c r="E42" s="6" t="str">
        <x:v>Restore clears archived_at, returns to active list/detail based on return_to, blocks restore on active projects.</x:v>
      </x:c>
      <x:c r="F42" s="6" t="str">
        <x:v>app/projects/[id]/restore/route.ts; lib/projects/project-planning-lifecycle.ts; lib/storage/project-store.ts</x:v>
      </x:c>
      <x:c r="G42" s="6" t="str">
        <x:v>Archived-list return, active project, missing project, stale no-op.</x:v>
      </x:c>
      <x:c r="H42" s="6" t="str">
        <x:v>project-archive-route.test.ts; project-planning-lifecycle.test.ts; project-store.test.ts</x:v>
      </x:c>
      <x:c r="I42" s="6" t="str">
        <x:v>Ready</x:v>
      </x:c>
      <x:c r="J42" s="6" t="str">
        <x:v>Pass</x:v>
      </x:c>
      <x:c r="K42" s="6"/>
      <x:c r="L42" s="6" t="str">
        <x:v>Not Required</x:v>
      </x:c>
      <x:c r="M42" s="6" t="str">
        <x:v>Pass</x:v>
      </x:c>
      <x:c r="N42" s="6" t="str">
        <x:v>2026-06-24</x:v>
      </x:c>
    </x:row>
    <x:row r="43">
      <x:c r="A43" s="6" t="str">
        <x:v>BS-US-042</x:v>
      </x:c>
      <x:c r="B43" s="6" t="str">
        <x:v>Project Lifecycle</x:v>
      </x:c>
      <x:c r="C43" s="6" t="str">
        <x:v>Archived read-only state</x:v>
      </x:c>
      <x:c r="D43" s="6" t="str">
        <x:v>As a user, I can review archived project data but cannot generate, revise, duplicate, save notes, save build log, or update shelf layout until restored.</x:v>
      </x:c>
      <x:c r="E43" s="6" t="str">
        <x:v>Lifecycle gates project write/revision/generation/archive/restore commands and detail UI shows read-only archived project actions.</x:v>
      </x:c>
      <x:c r="F43" s="6" t="str">
        <x:v>lib/projects/project-planning-lifecycle.ts; app/projects/[id]/page.tsx</x:v>
      </x:c>
      <x:c r="G43" s="6" t="str">
        <x:v>Existing print remains available, stale writes after archive, restore re-enables writes.</x:v>
      </x:c>
      <x:c r="H43" s="6" t="str">
        <x:v>project-planning-lifecycle.test.ts; notes/build-log/shelf-layout/duplicate/generate/tweak route tests</x:v>
      </x:c>
      <x:c r="I43" s="6" t="str">
        <x:v>Ready</x:v>
      </x:c>
      <x:c r="J43" s="6" t="str">
        <x:v>Pass</x:v>
      </x:c>
      <x:c r="K43" s="6"/>
      <x:c r="L43" s="6" t="str">
        <x:v>Not Required</x:v>
      </x:c>
      <x:c r="M43" s="6" t="str">
        <x:v>Pass</x:v>
      </x:c>
      <x:c r="N43" s="6" t="str">
        <x:v>2026-06-24</x:v>
      </x:c>
    </x:row>
    <x:row r="44">
      <x:c r="A44" s="6" t="str">
        <x:v>BS-US-043</x:v>
      </x:c>
      <x:c r="B44" s="6" t="str">
        <x:v>Print</x:v>
      </x:c>
      <x:c r="C44" s="6" t="str">
        <x:v>Print route empty state</x:v>
      </x:c>
      <x:c r="D44" s="6" t="str">
        <x:v>As a user, I cannot print a build sheet before a generated plan exists.</x:v>
      </x:c>
      <x:c r="E44" s="6" t="str">
        <x:v>Print route loads latest plan snapshot; if no generated plan, it renders an empty state with back link and generation reminder.</x:v>
      </x:c>
      <x:c r="F44" s="6" t="str">
        <x:v>app/projects/[id]/print/page.tsx</x:v>
      </x:c>
      <x:c r="G44" s="6" t="str">
        <x:v>Missing project, no plan, derived no-plan manifest.</x:v>
      </x:c>
      <x:c r="H44" s="6" t="str">
        <x:v>print-preview-page.test.ts</x:v>
      </x:c>
      <x:c r="I44" s="6" t="str">
        <x:v>Ready</x:v>
      </x:c>
      <x:c r="J44" s="6" t="str">
        <x:v>Pass</x:v>
      </x:c>
      <x:c r="K44" s="6"/>
      <x:c r="L44" s="6" t="str">
        <x:v>Not Required</x:v>
      </x:c>
      <x:c r="M44" s="6" t="str">
        <x:v>Pass</x:v>
      </x:c>
      <x:c r="N44" s="6" t="str">
        <x:v>2026-06-24</x:v>
      </x:c>
    </x:row>
    <x:row r="45">
      <x:c r="A45" s="6" t="str">
        <x:v>BS-US-044</x:v>
      </x:c>
      <x:c r="B45" s="6" t="str">
        <x:v>Print</x:v>
      </x:c>
      <x:c r="C45" s="6" t="str">
        <x:v>Browser print packet</x:v>
      </x:c>
      <x:c r="D45" s="6" t="str">
        <x:v>As a user, I can open a clean browser-print build sheet from the same structured manifest as detail.</x:v>
      </x:c>
      <x:c r="E45" s="6" t="str">
        <x:v>Print route includes packet sections, print button, no-print controls, shop notes on print, and explicit no PDF/CAD/CNC/export/download copy.</x:v>
      </x:c>
      <x:c r="F45" s="6" t="str">
        <x:v>app/projects/[id]/print/page.tsx; app/projects/[id]/print/PrintDialogButton.tsx</x:v>
      </x:c>
      <x:c r="G45" s="6" t="str">
        <x:v>window.print behavior, mobile table, section order, archived existing plans.</x:v>
      </x:c>
      <x:c r="H45" s="6" t="str">
        <x:v>print-preview-page.test.ts; printable-plan-manifest.test.ts; e2e/packet-smoke.spec.ts</x:v>
      </x:c>
      <x:c r="I45" s="6" t="str">
        <x:v>Ready</x:v>
      </x:c>
      <x:c r="J45" s="6" t="str">
        <x:v>Pass</x:v>
      </x:c>
      <x:c r="K45" s="6"/>
      <x:c r="L45" s="6" t="str">
        <x:v>Not Required</x:v>
      </x:c>
      <x:c r="M45" s="6" t="str">
        <x:v>Pass</x:v>
      </x:c>
      <x:c r="N45" s="6" t="str">
        <x:v>2026-06-24</x:v>
      </x:c>
    </x:row>
    <x:row r="46">
      <x:c r="A46" s="6" t="str">
        <x:v>BS-US-045</x:v>
      </x:c>
      <x:c r="B46" s="6" t="str">
        <x:v>Templates</x:v>
      </x:c>
      <x:c r="C46" s="6" t="str">
        <x:v>Supported project types</x:v>
      </x:c>
      <x:c r="D46" s="6" t="str">
        <x:v>As a user, I can choose door hanger, layered cutout, wood sign, wall shelf, or planter box templates.</x:v>
      </x:c>
      <x:c r="E46" s="6" t="str">
        <x:v>Each declared project type has labels, template hints, and a supported build-model drafting adapter; unsupported types are rejected.</x:v>
      </x:c>
      <x:c r="F46" s="6" t="str">
        <x:v>lib/projects/types.ts; lib/templates/template-hints.ts; lib/build-model/supported-project-type-drafting.ts</x:v>
      </x:c>
      <x:c r="G46" s="6" t="str">
        <x:v>Adapter coverage drift, unsupported type rejection.</x:v>
      </x:c>
      <x:c r="H46" s="6" t="str">
        <x:v>create-build-model-draft.test.ts; template hint tests via generation prompt</x:v>
      </x:c>
      <x:c r="I46" s="6" t="str">
        <x:v>Ready</x:v>
      </x:c>
      <x:c r="J46" s="6" t="str">
        <x:v>Pass</x:v>
      </x:c>
      <x:c r="K46" s="6"/>
      <x:c r="L46" s="6" t="str">
        <x:v>Not Required</x:v>
      </x:c>
      <x:c r="M46" s="6" t="str">
        <x:v>Pass</x:v>
      </x:c>
      <x:c r="N46" s="6" t="str">
        <x:v>2026-06-24</x:v>
      </x:c>
    </x:row>
    <x:row r="47">
      <x:c r="A47" s="6" t="str">
        <x:v>BS-US-046</x:v>
      </x:c>
      <x:c r="B47" s="6" t="str">
        <x:v>Templates</x:v>
      </x:c>
      <x:c r="C47" s="6" t="str">
        <x:v>Wall shelf single-shelf golden path</x:v>
      </x:c>
      <x:c r="D47" s="6" t="str">
        <x:v>As a shelf builder, I get a coherent single-shelf packet with consistent part labels, visuals, buying plan, cut layout, readiness, and build guide.</x:v>
      </x:c>
      <x:c r="E47" s="6" t="str">
        <x:v>Wall-shelf typed view models assign deterministic Part A, safe hardware placeholders, store-trip minimums, diagram/cut/buying/readiness/build-guide sections.</x:v>
      </x:c>
      <x:c r="F47" s="6" t="str">
        <x:v>lib/plans/wall-shelf-*; app/projects/[id]/WallShelf*.tsx</x:v>
      </x:c>
      <x:c r="G47" s="6" t="str">
        <x:v>Missing support details, selected visible brackets, print-safe labels.</x:v>
      </x:c>
      <x:c r="H47" s="6" t="str">
        <x:v>wall-shelf-* tests; e2e/packet-smoke.spec.ts</x:v>
      </x:c>
      <x:c r="I47" s="6" t="str">
        <x:v>Ready</x:v>
      </x:c>
      <x:c r="J47" s="6" t="str">
        <x:v>Pass</x:v>
      </x:c>
      <x:c r="K47" s="6"/>
      <x:c r="L47" s="6" t="str">
        <x:v>Not Required</x:v>
      </x:c>
      <x:c r="M47" s="6" t="str">
        <x:v>Pass</x:v>
      </x:c>
      <x:c r="N47" s="6" t="str">
        <x:v>2026-06-24</x:v>
      </x:c>
    </x:row>
    <x:row r="48">
      <x:c r="A48" s="6" t="str">
        <x:v>BS-US-047</x:v>
      </x:c>
      <x:c r="B48" s="6" t="str">
        <x:v>Templates</x:v>
      </x:c>
      <x:c r="C48" s="6" t="str">
        <x:v>Wall shelf separate shelves</x:v>
      </x:c>
      <x:c r="D48" s="6" t="str">
        <x:v>As a user planning multiple separate shelves, I see repeated assemblies rather than an invented connected unit.</x:v>
      </x:c>
      <x:c r="E48" s="6" t="str">
        <x:v>Separate-shelf layout scales shelf boards/support placeholders by count and does not use connected-unit copy.</x:v>
      </x:c>
      <x:c r="F48" s="6" t="str">
        <x:v>lib/diagrams/wall-shelf-diagram-model.ts; lib/plans/wall-shelf-*</x:v>
      </x:c>
      <x:c r="G48" s="6" t="str">
        <x:v>Multiple separate shelves, support count, impossible-height false positives.</x:v>
      </x:c>
      <x:c r="H48" s="6" t="str">
        <x:v>wall-shelf-diagrams-render.test.ts; create-build-model-draft.test.ts; e2e/packet-smoke.spec.ts</x:v>
      </x:c>
      <x:c r="I48" s="6" t="str">
        <x:v>Ready</x:v>
      </x:c>
      <x:c r="J48" s="6" t="str">
        <x:v>Pass</x:v>
      </x:c>
      <x:c r="K48" s="6"/>
      <x:c r="L48" s="6" t="str">
        <x:v>Not Required</x:v>
      </x:c>
      <x:c r="M48" s="6" t="str">
        <x:v>Pass</x:v>
      </x:c>
      <x:c r="N48" s="6" t="str">
        <x:v>2026-06-24</x:v>
      </x:c>
    </x:row>
    <x:row r="49">
      <x:c r="A49" s="6" t="str">
        <x:v>BS-US-048</x:v>
      </x:c>
      <x:c r="B49" s="6" t="str">
        <x:v>Templates</x:v>
      </x:c>
      <x:c r="C49" s="6" t="str">
        <x:v>Wall shelf connected unit review</x:v>
      </x:c>
      <x:c r="D49" s="6" t="str">
        <x:v>As a user planning a connected shelf unit, I see support/frame review until side supports or frame pieces are modeled.</x:v>
      </x:c>
      <x:c r="E49" s="6" t="str">
        <x:v>Connected units without modeled supports render needs_review, avoid freestanding assembly instructions, and do not assign invented support part labels.</x:v>
      </x:c>
      <x:c r="F49" s="6" t="str">
        <x:v>lib/plans/wall-shelf-*; lib/projects/shelf-layout-validation.ts</x:v>
      </x:c>
      <x:c r="G49" s="6" t="str">
        <x:v>Unresolved support/frame, modeled support pieces present, print-safe copy.</x:v>
      </x:c>
      <x:c r="H49" s="6" t="str">
        <x:v>wall-shelf-* tests; e2e/packet-smoke.spec.ts</x:v>
      </x:c>
      <x:c r="I49" s="6" t="str">
        <x:v>Ready</x:v>
      </x:c>
      <x:c r="J49" s="6" t="str">
        <x:v>Pass</x:v>
      </x:c>
      <x:c r="K49" s="6"/>
      <x:c r="L49" s="6" t="str">
        <x:v>Not Required</x:v>
      </x:c>
      <x:c r="M49" s="6" t="str">
        <x:v>Pass</x:v>
      </x:c>
      <x:c r="N49" s="6" t="str">
        <x:v>2026-06-24</x:v>
      </x:c>
    </x:row>
    <x:row r="50">
      <x:c r="A50" s="6" t="str">
        <x:v>BS-US-049</x:v>
      </x:c>
      <x:c r="B50" s="6" t="str">
        <x:v>Templates</x:v>
      </x:c>
      <x:c r="C50" s="6" t="str">
        <x:v>Wall shelf invalid height protection</x:v>
      </x:c>
      <x:c r="D50" s="6" t="str">
        <x:v>As a user, I am blocked or shown review state when a connected shelf unit cannot physically fit the requested count and board thickness.</x:v>
      </x:c>
      <x:c r="E50" s="6" t="str">
        <x:v>Impossible height is flagged before generation and in view models; trusted complete diagrams/build guide are not rendered for invalid height.</x:v>
      </x:c>
      <x:c r="F50" s="6" t="str">
        <x:v>lib/projects/shelf-layout-validation.ts; lib/plans/wall-shelf-*</x:v>
      </x:c>
      <x:c r="G50" s="6" t="str">
        <x:v>Separate shelves excluded, stale invalid plans, missing count.</x:v>
      </x:c>
      <x:c r="H50" s="6" t="str">
        <x:v>safety-review.test.ts; generate-route-feedback.test.ts; wall-shelf-* tests</x:v>
      </x:c>
      <x:c r="I50" s="6" t="str">
        <x:v>Ready</x:v>
      </x:c>
      <x:c r="J50" s="6" t="str">
        <x:v>Pass</x:v>
      </x:c>
      <x:c r="K50" s="6"/>
      <x:c r="L50" s="6" t="str">
        <x:v>Not Required</x:v>
      </x:c>
      <x:c r="M50" s="6" t="str">
        <x:v>Pass</x:v>
      </x:c>
      <x:c r="N50" s="6" t="str">
        <x:v>2026-06-24</x:v>
      </x:c>
    </x:row>
    <x:row r="51">
      <x:c r="A51" s="6" t="str">
        <x:v>BS-US-050</x:v>
      </x:c>
      <x:c r="B51" s="6" t="str">
        <x:v>Templates</x:v>
      </x:c>
      <x:c r="C51" s="6" t="str">
        <x:v>Wall shelf support and buying guidance</x:v>
      </x:c>
      <x:c r="D51" s="6" t="str">
        <x:v>As a user, I get board-count, stock-length, bracket/support-count, fastener, wall, and finish review guidance without exact purchase claims.</x:v>
      </x:c>
      <x:c r="E51" s="6" t="str">
        <x:v>Buying plan shows store-trip minimum, selected mounting method, intake/model support counts, exact retail stock caveat, and no vendors/prices.</x:v>
      </x:c>
      <x:c r="F51" s="6" t="str">
        <x:v>lib/plans/wall-shelf-stock-board-view-model.ts; app/projects/[id]/WallShelfBuyingPlan.tsx</x:v>
      </x:c>
      <x:c r="G51" s="6" t="str">
        <x:v>Visible L brackets, hidden brackets, not sure, heavy loads, humidity.</x:v>
      </x:c>
      <x:c r="H51" s="6" t="str">
        <x:v>wall-shelf-stock-board-view-model.test.ts; e2e/packet-smoke.spec.ts</x:v>
      </x:c>
      <x:c r="I51" s="6" t="str">
        <x:v>Ready</x:v>
      </x:c>
      <x:c r="J51" s="6" t="str">
        <x:v>Pass</x:v>
      </x:c>
      <x:c r="K51" s="6"/>
      <x:c r="L51" s="6" t="str">
        <x:v>Not Required</x:v>
      </x:c>
      <x:c r="M51" s="6" t="str">
        <x:v>Pass</x:v>
      </x:c>
      <x:c r="N51" s="6" t="str">
        <x:v>2026-06-24</x:v>
      </x:c>
    </x:row>
    <x:row r="52">
      <x:c r="A52" s="6" t="str">
        <x:v>BS-US-051</x:v>
      </x:c>
      <x:c r="B52" s="6" t="str">
        <x:v>Templates</x:v>
      </x:c>
      <x:c r="C52" s="6" t="str">
        <x:v>Planter box packet</x:v>
      </x:c>
      <x:c r="D52" s="6" t="str">
        <x:v>As a planter user, I get a review-first panel, drainage, liner, finish, stock/material, and connection planning packet.</x:v>
      </x:c>
      <x:c r="E52" s="6" t="str">
        <x:v>Planter typed packet has Part A-E panel identity, cut layout, buying plan, readiness actions, and Build Guide without overclaiming supports/raised frames.</x:v>
      </x:c>
      <x:c r="F52" s="6" t="str">
        <x:v>lib/plans/planter-box-*; app/projects/[id]/PlanterBox*.tsx</x:v>
      </x:c>
      <x:c r="G52" s="6" t="str">
        <x:v>Raised planter support ideas, outdoor exposure, drainage/liner/fasteners.</x:v>
      </x:c>
      <x:c r="H52" s="6" t="str">
        <x:v>planter-box-packet-view-models.test.ts; planter-box-part-schedule-view-model.test.ts; e2e/packet-smoke.spec.ts</x:v>
      </x:c>
      <x:c r="I52" s="6" t="str">
        <x:v>Ready</x:v>
      </x:c>
      <x:c r="J52" s="6" t="str">
        <x:v>Pass</x:v>
      </x:c>
      <x:c r="K52" s="6"/>
      <x:c r="L52" s="6" t="str">
        <x:v>Not Required</x:v>
      </x:c>
      <x:c r="M52" s="6" t="str">
        <x:v>Pass</x:v>
      </x:c>
      <x:c r="N52" s="6" t="str">
        <x:v>2026-06-24</x:v>
      </x:c>
    </x:row>
    <x:row r="53">
      <x:c r="A53" s="6" t="str">
        <x:v>BS-US-052</x:v>
      </x:c>
      <x:c r="B53" s="6" t="str">
        <x:v>Safety</x:v>
      </x:c>
      <x:c r="C53" s="6" t="str">
        <x:v>Deterministic safety review</x:v>
      </x:c>
      <x:c r="D53" s="6" t="str">
        <x:v>As a user, I get conservative review flags for wall mounting, child/baby use, load, electrical, outdoor, missing dimensions, and material thickness.</x:v>
      </x:c>
      <x:c r="E53" s="6" t="str">
        <x:v>Safety flags are calculated deterministically before generation and stored with the project.</x:v>
      </x:c>
      <x:c r="F53" s="6" t="str">
        <x:v>lib/safety/safety-review.ts; lib/storage/project-store.ts</x:v>
      </x:c>
      <x:c r="G53" s="6" t="str">
        <x:v>Electrical exclusions, light-weight wording, wall shelves, toddler ledges, impossible shelf dimensions.</x:v>
      </x:c>
      <x:c r="H53" s="6" t="str">
        <x:v>safety-review.test.ts; project-store.test.ts</x:v>
      </x:c>
      <x:c r="I53" s="6" t="str">
        <x:v>Ready</x:v>
      </x:c>
      <x:c r="J53" s="6" t="str">
        <x:v>Pass</x:v>
      </x:c>
      <x:c r="K53" s="6"/>
      <x:c r="L53" s="6" t="str">
        <x:v>Not Required</x:v>
      </x:c>
      <x:c r="M53" s="6" t="str">
        <x:v>Pass</x:v>
      </x:c>
      <x:c r="N53" s="6" t="str">
        <x:v>2026-06-24</x:v>
      </x:c>
    </x:row>
    <x:row r="54">
      <x:c r="A54" s="6" t="str">
        <x:v>BS-US-053</x:v>
      </x:c>
      <x:c r="B54" s="6" t="str">
        <x:v>Safety</x:v>
      </x:c>
      <x:c r="C54" s="6" t="str">
        <x:v>Unsupported and high-risk idea handling</x:v>
      </x:c>
      <x:c r="D54" s="6" t="str">
        <x:v>As a user, I get concept-only or blocked guidance for unsupported and high-risk projects instead of fake build packets.</x:v>
      </x:c>
      <x:c r="E54" s="6" t="str">
        <x:v>Clarification/natural-language logic blocks high-risk ideas and keeps unsupported woodworking-adjacent ideas concept-only or unsupported.</x:v>
      </x:c>
      <x:c r="F54" s="6" t="str">
        <x:v>lib/projects/natural-language-intake.ts; lib/projects/clarification-gate.ts; lib/projects/concept-brief.ts</x:v>
      </x:c>
      <x:c r="G54" s="6" t="str">
        <x:v>Bookcases/cabinets, unrelated ideas, ladders, seating, cribs, overhead storage.</x:v>
      </x:c>
      <x:c r="H54" s="6" t="str">
        <x:v>natural-language-intake.test.ts; clarification-gate.test.ts; concept-brief.test.ts</x:v>
      </x:c>
      <x:c r="I54" s="6" t="str">
        <x:v>Ready</x:v>
      </x:c>
      <x:c r="J54" s="6" t="str">
        <x:v>Pass</x:v>
      </x:c>
      <x:c r="K54" s="6"/>
      <x:c r="L54" s="6" t="str">
        <x:v>Not Required</x:v>
      </x:c>
      <x:c r="M54" s="6" t="str">
        <x:v>Pass</x:v>
      </x:c>
      <x:c r="N54" s="6" t="str">
        <x:v>2026-06-24</x:v>
      </x:c>
    </x:row>
    <x:row r="55">
      <x:c r="A55" s="6" t="str">
        <x:v>BS-US-054</x:v>
      </x:c>
      <x:c r="B55" s="6" t="str">
        <x:v>Storage</x:v>
      </x:c>
      <x:c r="C55" s="6" t="str">
        <x:v>Local JSON persistence</x:v>
      </x:c>
      <x:c r="D55" s="6" t="str">
        <x:v>As a developer/private user, I can use local JSON storage when Supabase is not configured.</x:v>
      </x:c>
      <x:c r="E55" s="6" t="str">
        <x:v>Project store reads/writes .data/boardsmith.json or BOARDSMITH_DATA_FILE, sorts projects, preserves plans, and blocks stale archived writes.</x:v>
      </x:c>
      <x:c r="F55" s="6" t="str">
        <x:v>lib/storage/project-store.ts</x:v>
      </x:c>
      <x:c r="G55" s="6" t="str">
        <x:v>Missing file, duplicate, notes/build log, archive/restore, stale writes.</x:v>
      </x:c>
      <x:c r="H55" s="6" t="str">
        <x:v>project-store.test.ts</x:v>
      </x:c>
      <x:c r="I55" s="6" t="str">
        <x:v>Ready</x:v>
      </x:c>
      <x:c r="J55" s="6" t="str">
        <x:v>Pass</x:v>
      </x:c>
      <x:c r="K55" s="6"/>
      <x:c r="L55" s="6" t="str">
        <x:v>Not Required</x:v>
      </x:c>
      <x:c r="M55" s="6" t="str">
        <x:v>Pass</x:v>
      </x:c>
      <x:c r="N55" s="6" t="str">
        <x:v>2026-06-24</x:v>
      </x:c>
    </x:row>
    <x:row r="56">
      <x:c r="A56" s="6" t="str">
        <x:v>BS-US-055</x:v>
      </x:c>
      <x:c r="B56" s="6" t="str">
        <x:v>Storage</x:v>
      </x:c>
      <x:c r="C56" s="6" t="str">
        <x:v>Supabase private MVP persistence</x:v>
      </x:c>
      <x:c r="D56" s="6" t="str">
        <x:v>As a hosted private MVP, Boardsmith can use server-only Supabase service-role persistence without public access.</x:v>
      </x:c>
      <x:c r="E56" s="6" t="str">
        <x:v>Supabase mode requires URL and service role key, migrations keep private grants, generated plan saves use atomic RPC/latest-plan behavior.</x:v>
      </x:c>
      <x:c r="F56" s="6" t="str">
        <x:v>lib/storage/project-store.ts; supabase/migrations</x:v>
      </x:c>
      <x:c r="G56" s="6" t="str">
        <x:v>Service-role required, anon reserved, latest-plan uniqueness, archived save guard, schema drift.</x:v>
      </x:c>
      <x:c r="H56" s="6" t="str">
        <x:v>supabase-config.test.ts; supabase-migrations.test.ts; project-store-supabase-rpc.test.ts; project-store-duplicate-supabase.test.ts</x:v>
      </x:c>
      <x:c r="I56" s="6" t="str">
        <x:v>Ready</x:v>
      </x:c>
      <x:c r="J56" s="6" t="str">
        <x:v>Pass</x:v>
      </x:c>
      <x:c r="K56" s="6"/>
      <x:c r="L56" s="6" t="str">
        <x:v>Not Required</x:v>
      </x:c>
      <x:c r="M56" s="6" t="str">
        <x:v>Pass</x:v>
      </x:c>
      <x:c r="N56" s="6" t="str">
        <x:v>2026-06-24</x:v>
      </x:c>
    </x:row>
    <x:row r="57">
      <x:c r="A57" s="6" t="str">
        <x:v>BS-US-056</x:v>
      </x:c>
      <x:c r="B57" s="6" t="str">
        <x:v>Plan Data</x:v>
      </x:c>
      <x:c r="C57" s="6" t="str">
        <x:v>Generated plan schema validation</x:v>
      </x:c>
      <x:c r="D57" s="6" t="str">
        <x:v>As a user, only schema-valid generated JSON can be saved as a plan version.</x:v>
      </x:c>
      <x:c r="E57" s="6" t="str">
        <x:v>Generated plan parser validates dimensions, materials, cuts, steps, safety notes, assumptions, confidence, markdown, and plan metadata.</x:v>
      </x:c>
      <x:c r="F57" s="6" t="str">
        <x:v>lib/plans/plan-schema.ts; lib/ai/generate-project-plan.ts</x:v>
      </x:c>
      <x:c r="G57" s="6" t="str">
        <x:v>Invalid JSON, missing required safety notes, overlong/missing fields.</x:v>
      </x:c>
      <x:c r="H57" s="6" t="str">
        <x:v>plan-schema.test.ts; generate-project-plan.test.ts; generate-route-feedback.test.ts</x:v>
      </x:c>
      <x:c r="I57" s="6" t="str">
        <x:v>Ready</x:v>
      </x:c>
      <x:c r="J57" s="6" t="str">
        <x:v>Pass</x:v>
      </x:c>
      <x:c r="K57" s="6"/>
      <x:c r="L57" s="6" t="str">
        <x:v>Not Required</x:v>
      </x:c>
      <x:c r="M57" s="6" t="str">
        <x:v>Pass</x:v>
      </x:c>
      <x:c r="N57" s="6" t="str">
        <x:v>2026-06-24</x:v>
      </x:c>
    </x:row>
    <x:row r="58">
      <x:c r="A58" s="6" t="str">
        <x:v>BS-US-057</x:v>
      </x:c>
      <x:c r="B58" s="6" t="str">
        <x:v>Plan Data</x:v>
      </x:c>
      <x:c r="C58" s="6" t="str">
        <x:v>Build Model validation</x:v>
      </x:c>
      <x:c r="D58" s="6" t="str">
        <x:v>As a user, structured build-model data stays internally consistent before it drives packet outputs.</x:v>
      </x:c>
      <x:c r="E58" s="6" t="str">
        <x:v>Build Model schema validates ids and semantics such as piece/hardware/operation references before strict parsing accepts it.</x:v>
      </x:c>
      <x:c r="F58" s="6" t="str">
        <x:v>lib/build-model/build-model-schema.ts; lib/build-model/create-build-model-draft.ts</x:v>
      </x:c>
      <x:c r="G58" s="6" t="str">
        <x:v>Missing referenced pieces/hardware, unstable ids, nullable dimensions.</x:v>
      </x:c>
      <x:c r="H58" s="6" t="str">
        <x:v>build-model-schema.test.ts; create-build-model-draft.test.ts</x:v>
      </x:c>
      <x:c r="I58" s="6" t="str">
        <x:v>Ready</x:v>
      </x:c>
      <x:c r="J58" s="6" t="str">
        <x:v>Pass</x:v>
      </x:c>
      <x:c r="K58" s="6"/>
      <x:c r="L58" s="6" t="str">
        <x:v>Not Required</x:v>
      </x:c>
      <x:c r="M58" s="6" t="str">
        <x:v>Pass</x:v>
      </x:c>
      <x:c r="N58" s="6" t="str">
        <x:v>2026-06-24</x:v>
      </x:c>
    </x:row>
    <x:row r="59">
      <x:c r="A59" s="6" t="str">
        <x:v>BS-US-058</x:v>
      </x:c>
      <x:c r="B59" s="6" t="str">
        <x:v>Plan Data</x:v>
      </x:c>
      <x:c r="C59" s="6" t="str">
        <x:v>Deterministic plan quality checks</x:v>
      </x:c>
      <x:c r="D59" s="6" t="str">
        <x:v>As a user, plan output is rejected or warned when it conflicts with structured project/build-model truth.</x:v>
      </x:c>
      <x:c r="E59" s="6" t="str">
        <x:v>Quality checks validate project type, bounded dimensions, safety warnings, cut-list material/piece alignment, and overconfident safety claims.</x:v>
      </x:c>
      <x:c r="F59" s="6" t="str">
        <x:v>lib/plans/plan-quality.ts; app/projects/[id]/generate/route.ts</x:v>
      </x:c>
      <x:c r="G59" s="6" t="str">
        <x:v>Project-type mismatch, unbounded dimensions, missing required warnings, load-rated/certified copy.</x:v>
      </x:c>
      <x:c r="H59" s="6" t="str">
        <x:v>plan-quality.test.ts; generate-route-feedback.test.ts</x:v>
      </x:c>
      <x:c r="I59" s="6" t="str">
        <x:v>Ready</x:v>
      </x:c>
      <x:c r="J59" s="6" t="str">
        <x:v>Pass</x:v>
      </x:c>
      <x:c r="K59" s="6"/>
      <x:c r="L59" s="6" t="str">
        <x:v>Not Required</x:v>
      </x:c>
      <x:c r="M59" s="6" t="str">
        <x:v>Pass</x:v>
      </x:c>
      <x:c r="N59" s="6" t="str">
        <x:v>2026-06-24</x:v>
      </x:c>
    </x:row>
    <x:row r="60">
      <x:c r="A60" s="6" t="str">
        <x:v>BS-US-059</x:v>
      </x:c>
      <x:c r="B60" s="6" t="str">
        <x:v>Plan Data</x:v>
      </x:c>
      <x:c r="C60" s="6" t="str">
        <x:v>Printable plan manifest</x:v>
      </x:c>
      <x:c r="D60" s="6" t="str">
        <x:v>As a user, detail and print views use the same structured manifest for packet content.</x:v>
      </x:c>
      <x:c r="E60" s="6" t="str">
        <x:v>Manifest gathers project, generated plan, build model, materials, cut list, review, diagrams, action checklist, and disclaimers.</x:v>
      </x:c>
      <x:c r="F60" s="6" t="str">
        <x:v>lib/plans/printable-plan-manifest.ts; app/projects/[id]/page.tsx; app/projects/[id]/print/page.tsx</x:v>
      </x:c>
      <x:c r="G60" s="6" t="str">
        <x:v>Older plans without build_model_json, no-plan snapshot, wall shelf/planter variants.</x:v>
      </x:c>
      <x:c r="H60" s="6" t="str">
        <x:v>printable-plan-manifest.test.ts; gated-build-packet-snapshot.test.ts; e2e/packet-smoke.spec.ts</x:v>
      </x:c>
      <x:c r="I60" s="6" t="str">
        <x:v>Ready</x:v>
      </x:c>
      <x:c r="J60" s="6" t="str">
        <x:v>Pass</x:v>
      </x:c>
      <x:c r="K60" s="6"/>
      <x:c r="L60" s="6" t="str">
        <x:v>Not Required</x:v>
      </x:c>
      <x:c r="M60" s="6" t="str">
        <x:v>Pass</x:v>
      </x:c>
      <x:c r="N60" s="6" t="str">
        <x:v>2026-06-24</x:v>
      </x:c>
    </x:row>
    <x:row r="61">
      <x:c r="A61" s="6" t="str">
        <x:v>BS-US-060</x:v>
      </x:c>
      <x:c r="B61" s="6" t="str">
        <x:v>Hosted Smoke</x:v>
      </x:c>
      <x:c r="C61" s="6" t="str">
        <x:v>Hosted smoke script</x:v>
      </x:c>
      <x:c r="D61" s="6" t="str">
        <x:v>As a maintainer, I can run a no-dependency hosted route/content smoke check without leaking secrets.</x:v>
      </x:c>
      <x:c r="E61" s="6" t="str">
        <x:v>Smoke script supports Vercel bypass headers, optional storage-state cookie, expected text sentinel, redacts secrets, and fails clearly for login blockers.</x:v>
      </x:c>
      <x:c r="F61" s="6" t="str">
        <x:v>scripts/hosted-smoke-check.mjs</x:v>
      </x:c>
      <x:c r="G61" s="6" t="str">
        <x:v>Missing bypass secret, missing storage state, login redirect, expected text missing.</x:v>
      </x:c>
      <x:c r="H61" s="6" t="str">
        <x:v>hosted-smoke-check-script.test.ts</x:v>
      </x:c>
      <x:c r="I61" s="6" t="str">
        <x:v>Ready</x:v>
      </x:c>
      <x:c r="J61" s="6" t="str">
        <x:v>Pass</x:v>
      </x:c>
      <x:c r="K61" s="6"/>
      <x:c r="L61" s="6" t="str">
        <x:v>Not Required</x:v>
      </x:c>
      <x:c r="M61" s="6" t="str">
        <x:v>Pass</x:v>
      </x:c>
      <x:c r="N61" s="6" t="str">
        <x:v>2026-06-24</x:v>
      </x:c>
    </x:row>
    <x:row r="62">
      <x:c r="A62" s="6" t="str">
        <x:v>BS-US-061</x:v>
      </x:c>
      <x:c r="B62" s="6" t="str">
        <x:v>Errors</x:v>
      </x:c>
      <x:c r="C62" s="6" t="str">
        <x:v>Detail error mapping</x:v>
      </x:c>
      <x:c r="D62" s="6" t="str">
        <x:v>As a user, I see stable non-technical errors for project detail route failures.</x:v>
      </x:c>
      <x:c r="E62" s="6" t="str">
        <x:v>Known detail error codes render friendly panels without raw exceptions.</x:v>
      </x:c>
      <x:c r="F62" s="6" t="str">
        <x:v>lib/projects/project-detail-errors.ts; app/projects/[id]/page.tsx</x:v>
      </x:c>
      <x:c r="G62" s="6" t="str">
        <x:v>Notes/build-log/shelf-layout/generation/archive/duplicate failures, schema missing.</x:v>
      </x:c>
      <x:c r="H62" s="6" t="str">
        <x:v>project-detail-errors.test.ts; route tests</x:v>
      </x:c>
      <x:c r="I62" s="6" t="str">
        <x:v>Ready</x:v>
      </x:c>
      <x:c r="J62" s="6" t="str">
        <x:v>Pass</x:v>
      </x:c>
      <x:c r="K62" s="6"/>
      <x:c r="L62" s="6" t="str">
        <x:v>Not Required</x:v>
      </x:c>
      <x:c r="M62" s="6" t="str">
        <x:v>Pass</x:v>
      </x:c>
      <x:c r="N62" s="6" t="str">
        <x:v>2026-06-24</x:v>
      </x:c>
    </x:row>
    <x:row r="63">
      <x:c r="A63" s="7" t="str">
        <x:v>BS-US-062</x:v>
      </x:c>
      <x:c r="B63" s="7" t="str">
        <x:v>Security</x:v>
      </x:c>
      <x:c r="C63" s="7" t="str">
        <x:v>No forbidden product surfaces</x:v>
      </x:c>
      <x:c r="D63" s="7" t="str">
        <x:v>As the owner, I do not see public sharing, marketplace, payments, vendor purchasing, CAD, CNC, PDF export, or load-certification features appear accidentally.</x:v>
      </x:c>
      <x:c r="E63" s="7" t="str">
        <x:v>Docs and UI keep deferred surfaces explicit and avoid CTA/functionality for forbidden features unless explicitly approved.</x:v>
      </x:c>
      <x:c r="F63" s="7" t="str">
        <x:v>AGENTS.md; docs/ARCHITECTURE.md; docs/VISION.md; app pages</x:v>
      </x:c>
      <x:c r="G63" s="7" t="str">
        <x:v>Copy drift, generated plan copy, print route copy, e2e body text.</x:v>
      </x:c>
      <x:c r="H63" s="7" t="str">
        <x:v>dashboard-page.test.ts; e2e/packet-smoke.spec.ts; plan-quality.test.ts</x:v>
      </x:c>
      <x:c r="I63" s="7" t="str">
        <x:v>Ready</x:v>
      </x:c>
      <x:c r="J63" s="7" t="str">
        <x:v>Pass</x:v>
      </x:c>
      <x:c r="K63" s="7"/>
      <x:c r="L63" s="7" t="str">
        <x:v>Not Required</x:v>
      </x:c>
      <x:c r="M63" s="7" t="str">
        <x:v>Pass</x:v>
      </x:c>
      <x:c r="N63" s="7" t="str">
        <x:v>2026-06-24</x:v>
      </x:c>
    </x:row>
  </x:sheetData>
  <x:dataValidations count="5">
    <x:dataValidation type="list" sqref="I2:I63">
      <x:formula1>"Inventoried,In Progress,Blocked,Ready,Fixed"</x:formula1>
    </x:dataValidation>
    <x:dataValidation type="list" sqref="J2:J63">
      <x:formula1>"Pending,Pass,Fail,Blocked,Covered by automated tests"</x:formula1>
    </x:dataValidation>
    <x:dataValidation type="list" sqref="L2:L63">
      <x:formula1>'Status Vocabulary'!$E$4:$E$8</x:formula1>
    </x:dataValidation>
    <x:dataValidation type="list" sqref="M2:M63">
      <x:formula1>"Pending,Pass,Fail,Blocked"</x:formula1>
    </x:dataValidation>
    <x:dataValidation type="list" sqref="K2:K63">
      <x:formula1>",Issue logged in QA Backlog,No issue"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46de57d3a24ab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630000114440918" hidden="0" customWidth="1"/>
    <x:col min="2" max="2" width="18.3799991607666" hidden="0" customWidth="1"/>
    <x:col min="3" max="3" width="32.880001068115234" hidden="0" customWidth="1"/>
    <x:col min="4" max="4" width="7.75" hidden="0" customWidth="1"/>
    <x:col min="5" max="5" width="12.75" hidden="0" customWidth="1"/>
    <x:col min="6" max="6" width="80.87999725341797" hidden="0" customWidth="1"/>
    <x:col min="7" max="7" width="13.130000114440918" hidden="0" customWidth="1"/>
  </x:cols>
  <x:sheetData>
    <x:row r="1">
      <x:c r="A1" s="9" t="str">
        <x:v>ID</x:v>
      </x:c>
      <x:c r="B1" s="9" t="str">
        <x:v>Pass</x:v>
      </x:c>
      <x:c r="C1" s="9" t="str">
        <x:v>Command Or Scenario</x:v>
      </x:c>
      <x:c r="D1" s="9" t="str">
        <x:v>Status</x:v>
      </x:c>
      <x:c r="E1" s="9" t="str">
        <x:v>Errors Found</x:v>
      </x:c>
      <x:c r="F1" s="9" t="str">
        <x:v>Evidence / Notes</x:v>
      </x:c>
      <x:c r="G1" s="9" t="str">
        <x:v>Last Updated</x:v>
      </x:c>
    </x:row>
    <x:row r="2">
      <x:c r="A2" s="4" t="str">
        <x:v>TL-001</x:v>
      </x:c>
      <x:c r="B2" s="4" t="str">
        <x:v>Baseline verification</x:v>
      </x:c>
      <x:c r="C2" s="4" t="str">
        <x:v>npm test</x:v>
      </x:c>
      <x:c r="D2" s="4" t="str">
        <x:v>Pass</x:v>
      </x:c>
      <x:c r="E2" s="4" t="str"/>
      <x:c r="F2" s="4" t="str">
        <x:v>62 Vitest files passed, 464 tests passed.</x:v>
      </x:c>
      <x:c r="G2" s="4" t="str">
        <x:v>2026-06-24</x:v>
      </x:c>
    </x:row>
    <x:row r="3">
      <x:c r="A3" s="4" t="str">
        <x:v>TL-002</x:v>
      </x:c>
      <x:c r="B3" s="4" t="str">
        <x:v>Baseline verification</x:v>
      </x:c>
      <x:c r="C3" s="4" t="str">
        <x:v>npm run lint</x:v>
      </x:c>
      <x:c r="D3" s="4" t="str">
        <x:v>Pass</x:v>
      </x:c>
      <x:c r="E3" s="4" t="str"/>
      <x:c r="F3" s="4" t="str">
        <x:v>ESLint passed after removing temporary builder artifact from output/.</x:v>
      </x:c>
      <x:c r="G3" s="4" t="str">
        <x:v>2026-06-24</x:v>
      </x:c>
    </x:row>
    <x:row r="4">
      <x:c r="A4" s="4" t="str">
        <x:v>TL-003</x:v>
      </x:c>
      <x:c r="B4" s="4" t="str">
        <x:v>Baseline verification</x:v>
      </x:c>
      <x:c r="C4" s="4" t="str">
        <x:v>npm run typecheck</x:v>
      </x:c>
      <x:c r="D4" s="4" t="str">
        <x:v>Pass</x:v>
      </x:c>
      <x:c r="E4" s="4" t="str"/>
      <x:c r="F4" s="4" t="str">
        <x:v>TypeScript passed after clearing stale .next generated route types.</x:v>
      </x:c>
      <x:c r="G4" s="4" t="str">
        <x:v>2026-06-24</x:v>
      </x:c>
    </x:row>
    <x:row r="5">
      <x:c r="A5" s="4" t="str">
        <x:v>TL-004</x:v>
      </x:c>
      <x:c r="B5" s="4" t="str">
        <x:v>Baseline verification</x:v>
      </x:c>
      <x:c r="C5" s="4" t="str">
        <x:v>npm run build</x:v>
      </x:c>
      <x:c r="D5" s="4" t="str">
        <x:v>Pass</x:v>
      </x:c>
      <x:c r="E5" s="4" t="str"/>
      <x:c r="F5" s="4" t="str">
        <x:v>Next production build passed.</x:v>
      </x:c>
      <x:c r="G5" s="4" t="str">
        <x:v>2026-06-24</x:v>
      </x:c>
    </x:row>
    <x:row r="6">
      <x:c r="A6" s="4" t="str">
        <x:v>TL-005</x:v>
      </x:c>
      <x:c r="B6" s="4" t="str">
        <x:v>Baseline verification</x:v>
      </x:c>
      <x:c r="C6" s="4" t="str">
        <x:v>npm run test:e2e</x:v>
      </x:c>
      <x:c r="D6" s="4" t="str">
        <x:v>Pass</x:v>
      </x:c>
      <x:c r="E6" s="4" t="str"/>
      <x:c r="F6" s="4" t="str">
        <x:v>Playwright e2e passed: 10 tests, including packet, readiness, smoke, and user-story-ledger flows.</x:v>
      </x:c>
      <x:c r="G6" s="4" t="str">
        <x:v>2026-06-24</x:v>
      </x:c>
    </x:row>
    <x:row r="7">
      <x:c r="A7" s="4" t="str">
        <x:v>TL-006</x:v>
      </x:c>
      <x:c r="B7" s="4" t="str">
        <x:v>Exploratory browser QA</x:v>
      </x:c>
      <x:c r="C7" s="4" t="str">
        <x:v>First-time supported wall shelf flow</x:v>
      </x:c>
      <x:c r="D7" s="4" t="str">
        <x:v>Pass</x:v>
      </x:c>
      <x:c r="E7" s="4" t="str"/>
      <x:c r="F7" s="4" t="str">
        <x:v>Covered by user-story-ledger e2e: dashboard idea draft opens the review form before save.</x:v>
      </x:c>
      <x:c r="G7" s="4" t="str">
        <x:v>2026-06-24</x:v>
      </x:c>
    </x:row>
    <x:row r="8">
      <x:c r="A8" s="4" t="str">
        <x:v>TL-007</x:v>
      </x:c>
      <x:c r="B8" s="4" t="str">
        <x:v>Exploratory browser QA</x:v>
      </x:c>
      <x:c r="C8" s="4" t="str">
        <x:v>Heavy garage wall shelf readiness flow</x:v>
      </x:c>
      <x:c r="D8" s="4" t="str">
        <x:v>Pass</x:v>
      </x:c>
      <x:c r="E8" s="4" t="str"/>
      <x:c r="F8" s="4" t="str">
        <x:v>Covered by readiness-friction e2e: heavy garage shelf support-count gate.</x:v>
      </x:c>
      <x:c r="G8" s="4" t="str">
        <x:v>2026-06-24</x:v>
      </x:c>
    </x:row>
    <x:row r="9">
      <x:c r="A9" s="4" t="str">
        <x:v>TL-008</x:v>
      </x:c>
      <x:c r="B9" s="4" t="str">
        <x:v>Exploratory browser QA</x:v>
      </x:c>
      <x:c r="C9" s="4" t="str">
        <x:v>Raised planter boundary flow</x:v>
      </x:c>
      <x:c r="D9" s="4" t="str">
        <x:v>Pass</x:v>
      </x:c>
      <x:c r="E9" s="4" t="str"/>
      <x:c r="F9" s="4" t="str">
        <x:v>Covered by readiness-friction e2e: raised planter support-template boundary.</x:v>
      </x:c>
      <x:c r="G9" s="4" t="str">
        <x:v>2026-06-24</x:v>
      </x:c>
    </x:row>
    <x:row r="10">
      <x:c r="A10" s="4" t="str">
        <x:v>TL-009</x:v>
      </x:c>
      <x:c r="B10" s="4" t="str">
        <x:v>Exploratory browser QA</x:v>
      </x:c>
      <x:c r="C10" s="4" t="str">
        <x:v>Generated packet review/print seeded flow</x:v>
      </x:c>
      <x:c r="D10" s="4" t="str">
        <x:v>Pass</x:v>
      </x:c>
      <x:c r="E10" s="4" t="str"/>
      <x:c r="F10" s="4" t="str">
        <x:v>Covered by packet-smoke e2e: seeded planter, wall shelf, separate shelves, connected unit, and print routes.</x:v>
      </x:c>
      <x:c r="G10" s="4" t="str">
        <x:v>2026-06-24</x:v>
      </x:c>
    </x:row>
    <x:row r="11">
      <x:c r="A11" s="4" t="str">
        <x:v>TL-010</x:v>
      </x:c>
      <x:c r="B11" s="4" t="str">
        <x:v>Post-fix verification</x:v>
      </x:c>
      <x:c r="C11" s="4" t="str">
        <x:v>Retest changed user stories after fixes</x:v>
      </x:c>
      <x:c r="D11" s="4" t="str">
        <x:v>Pass</x:v>
      </x:c>
      <x:c r="E11" s="4" t="str"/>
      <x:c r="F11" s="4" t="str">
        <x:v>No app logistical or UX defects remained after test-selector fixes; full e2e retest passed.</x:v>
      </x:c>
      <x:c r="G11" s="4" t="str">
        <x:v>2026-06-24</x:v>
      </x:c>
    </x:row>
  </x:sheetData>
  <x:dataValidations count="1">
    <x:dataValidation type="list" sqref="D2:D11">
      <x:formula1>"Pending,Pass,Fail,Blocked"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7e1e75f8c041b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6" hidden="0" customWidth="1"/>
  </x:cols>
  <x:sheetData>
    <x:row r="1">
      <x:c r="A1" s="64" t="str">
        <x:v>Status Vocabulary</x:v>
      </x:c>
      <x:c r="B1" s="65" t="str">
        <x:v>Status Vocabulary</x:v>
      </x:c>
      <x:c r="C1" s="65" t="str">
        <x:v>Status Vocabulary</x:v>
      </x:c>
      <x:c r="D1" s="65" t="str">
        <x:v>Status Vocabulary</x:v>
      </x:c>
      <x:c r="E1" s="65" t="str">
        <x:v>Status Vocabulary</x:v>
      </x:c>
      <x:c r="F1" s="65" t="str">
        <x:v>Status Vocabulary</x:v>
      </x:c>
      <x:c r="G1" s="65" t="str">
        <x:v>Status Vocabulary</x:v>
      </x:c>
      <x:c r="H1" s="66" t="str">
        <x:v>Status Vocabulary</x:v>
      </x:c>
    </x:row>
    <x:row r="3">
      <x:c r="A3" s="28" t="str">
        <x:v>Severity</x:v>
      </x:c>
      <x:c r="B3" s="29" t="str">
        <x:v>Confidence</x:v>
      </x:c>
      <x:c r="C3" s="29" t="str">
        <x:v>Backlog Status</x:v>
      </x:c>
      <x:c r="D3" s="29" t="str">
        <x:v>Test Result</x:v>
      </x:c>
      <x:c r="E3" s="29" t="str">
        <x:v>Fix Status</x:v>
      </x:c>
      <x:c r="F3" s="29" t="str">
        <x:v>Retest Status</x:v>
      </x:c>
      <x:c r="G3" s="29" t="str">
        <x:v>Coverage Type</x:v>
      </x:c>
      <x:c r="H3" s="30" t="str">
        <x:v>Owner</x:v>
      </x:c>
    </x:row>
    <x:row r="4">
      <x:c r="A4" s="36" t="str">
        <x:v>Must fix before private MVP/demo</x:v>
      </x:c>
      <x:c r="B4" s="37" t="str">
        <x:v>High</x:v>
      </x:c>
      <x:c r="C4" s="37" t="str">
        <x:v>New</x:v>
      </x:c>
      <x:c r="D4" s="37" t="str">
        <x:v>Not Run</x:v>
      </x:c>
      <x:c r="E4" s="37" t="str">
        <x:v>Not Required</x:v>
      </x:c>
      <x:c r="F4" s="37" t="str">
        <x:v>Not Required</x:v>
      </x:c>
      <x:c r="G4" s="37" t="str">
        <x:v>Automated</x:v>
      </x:c>
      <x:c r="H4" s="38" t="str">
        <x:v>Codex</x:v>
      </x:c>
    </x:row>
    <x:row r="5">
      <x:c r="A5" s="36" t="str">
        <x:v>Should fix soon</x:v>
      </x:c>
      <x:c r="B5" s="37" t="str">
        <x:v>Medium</x:v>
      </x:c>
      <x:c r="C5" s="37" t="str">
        <x:v>Repeated / Confirmed</x:v>
      </x:c>
      <x:c r="D5" s="37" t="str">
        <x:v>Pass</x:v>
      </x:c>
      <x:c r="E5" s="37" t="str">
        <x:v>Needed</x:v>
      </x:c>
      <x:c r="F5" s="37" t="str">
        <x:v>Pending</x:v>
      </x:c>
      <x:c r="G5" s="37" t="str">
        <x:v>Manual Dogfood</x:v>
      </x:c>
      <x:c r="H5" s="38" t="str">
        <x:v>User</x:v>
      </x:c>
    </x:row>
    <x:row r="6">
      <x:c r="A6" s="36" t="str">
        <x:v>Nice later</x:v>
      </x:c>
      <x:c r="B6" s="37" t="str">
        <x:v>Low</x:v>
      </x:c>
      <x:c r="C6" s="37" t="str">
        <x:v>Implementation Candidate</x:v>
      </x:c>
      <x:c r="D6" s="37" t="str">
        <x:v>Fail</x:v>
      </x:c>
      <x:c r="E6" s="37" t="str">
        <x:v>In Progress</x:v>
      </x:c>
      <x:c r="F6" s="37" t="str">
        <x:v>Pass</x:v>
      </x:c>
      <x:c r="G6" s="37" t="str">
        <x:v>Browser QA</x:v>
      </x:c>
      <x:c r="H6" s="38" t="str">
        <x:v>User + Codex</x:v>
      </x:c>
    </x:row>
    <x:row r="7">
      <x:c r="A7" s="36" t="str">
        <x:v>Not a real issue / leave alone</x:v>
      </x:c>
      <x:c r="B7" s="37"/>
      <x:c r="C7" s="37" t="str">
        <x:v>Fix Planned</x:v>
      </x:c>
      <x:c r="D7" s="37" t="str">
        <x:v>Blocked</x:v>
      </x:c>
      <x:c r="E7" s="37" t="str">
        <x:v>Fixed</x:v>
      </x:c>
      <x:c r="F7" s="37" t="str">
        <x:v>Fail</x:v>
      </x:c>
      <x:c r="G7" s="37" t="str">
        <x:v>Hosted Smoke</x:v>
      </x:c>
      <x:c r="H7" s="38"/>
    </x:row>
    <x:row r="8">
      <x:c r="A8" s="36"/>
      <x:c r="B8" s="37"/>
      <x:c r="C8" s="37" t="str">
        <x:v>Fixed - Needs Retest</x:v>
      </x:c>
      <x:c r="D8" s="37" t="str">
        <x:v>N/A</x:v>
      </x:c>
      <x:c r="E8" s="37" t="str">
        <x:v>Deferred</x:v>
      </x:c>
      <x:c r="F8" s="37" t="str">
        <x:v>Blocked</x:v>
      </x:c>
      <x:c r="G8" s="37" t="str">
        <x:v>Unit</x:v>
      </x:c>
      <x:c r="H8" s="38"/>
    </x:row>
    <x:row r="9">
      <x:c r="A9" s="36"/>
      <x:c r="B9" s="37"/>
      <x:c r="C9" s="37" t="str">
        <x:v>Closed - Retested Pass</x:v>
      </x:c>
      <x:c r="D9" s="37"/>
      <x:c r="E9" s="37"/>
      <x:c r="F9" s="37"/>
      <x:c r="G9" s="37" t="str">
        <x:v>Route</x:v>
      </x:c>
      <x:c r="H9" s="38"/>
    </x:row>
    <x:row r="10">
      <x:c r="A10" s="36"/>
      <x:c r="B10" s="37"/>
      <x:c r="C10" s="37" t="str">
        <x:v>Closed - Leave Alone</x:v>
      </x:c>
      <x:c r="D10" s="37"/>
      <x:c r="E10" s="37"/>
      <x:c r="F10" s="37"/>
      <x:c r="G10" s="37" t="str">
        <x:v>Print Review</x:v>
      </x:c>
      <x:c r="H10" s="38"/>
    </x:row>
    <x:row r="11">
      <x:c r="A11" s="39"/>
      <x:c r="B11" s="40"/>
      <x:c r="C11" s="40" t="str">
        <x:v>Blocked</x:v>
      </x:c>
      <x:c r="D11" s="40"/>
      <x:c r="E11" s="40"/>
      <x:c r="F11" s="40"/>
      <x:c r="G11" s="40" t="str">
        <x:v>Not Covered</x:v>
      </x:c>
      <x:c r="H11" s="4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6" hidden="0" customWidth="1"/>
    <x:col min="4" max="4" width="26" hidden="0" customWidth="1"/>
    <x:col min="5" max="5" width="36" hidden="0" customWidth="1"/>
    <x:col min="6" max="6" width="36" hidden="0" customWidth="1"/>
    <x:col min="7" max="7" width="36" hidden="0" customWidth="1"/>
    <x:col min="8" max="8" width="36" hidden="0" customWidth="1"/>
    <x:col min="9" max="9" width="24" hidden="0" customWidth="1"/>
    <x:col min="10" max="10" width="24" hidden="0" customWidth="1"/>
    <x:col min="11" max="11" width="24" hidden="0" customWidth="1"/>
    <x:col min="12" max="12" width="12" hidden="0" customWidth="1"/>
    <x:col min="13" max="13" width="28" hidden="0" customWidth="1"/>
    <x:col min="14" max="14" width="28" hidden="0" customWidth="1"/>
    <x:col min="15" max="15" width="18" hidden="0" customWidth="1"/>
    <x:col min="16" max="16" width="22" hidden="0" customWidth="1"/>
    <x:col min="17" max="17" width="22" hidden="0" customWidth="1"/>
    <x:col min="18" max="18" width="22" hidden="0" customWidth="1"/>
    <x:col min="19" max="19" width="16" hidden="0" customWidth="1"/>
    <x:col min="20" max="20" width="16" hidden="0" customWidth="1"/>
  </x:cols>
  <x:sheetData>
    <x:row r="1">
      <x:c r="A1" s="64" t="str">
        <x:v>Boardsmith Canonical QA Backlog</x:v>
      </x:c>
      <x:c r="B1" s="65" t="str">
        <x:v>Boardsmith Canonical QA Backlog</x:v>
      </x:c>
      <x:c r="C1" s="65" t="str">
        <x:v>Boardsmith Canonical QA Backlog</x:v>
      </x:c>
      <x:c r="D1" s="65" t="str">
        <x:v>Boardsmith Canonical QA Backlog</x:v>
      </x:c>
      <x:c r="E1" s="65" t="str">
        <x:v>Boardsmith Canonical QA Backlog</x:v>
      </x:c>
      <x:c r="F1" s="65" t="str">
        <x:v>Boardsmith Canonical QA Backlog</x:v>
      </x:c>
      <x:c r="G1" s="65" t="str">
        <x:v>Boardsmith Canonical QA Backlog</x:v>
      </x:c>
      <x:c r="H1" s="65" t="str">
        <x:v>Boardsmith Canonical QA Backlog</x:v>
      </x:c>
      <x:c r="I1" s="65" t="str">
        <x:v>Boardsmith Canonical QA Backlog</x:v>
      </x:c>
      <x:c r="J1" s="65" t="str">
        <x:v>Boardsmith Canonical QA Backlog</x:v>
      </x:c>
      <x:c r="K1" s="65" t="str">
        <x:v>Boardsmith Canonical QA Backlog</x:v>
      </x:c>
      <x:c r="L1" s="65" t="str">
        <x:v>Boardsmith Canonical QA Backlog</x:v>
      </x:c>
      <x:c r="M1" s="65" t="str">
        <x:v>Boardsmith Canonical QA Backlog</x:v>
      </x:c>
      <x:c r="N1" s="65" t="str">
        <x:v>Boardsmith Canonical QA Backlog</x:v>
      </x:c>
      <x:c r="O1" s="65" t="str">
        <x:v>Boardsmith Canonical QA Backlog</x:v>
      </x:c>
      <x:c r="P1" s="65" t="str">
        <x:v>Boardsmith Canonical QA Backlog</x:v>
      </x:c>
      <x:c r="Q1" s="65" t="str">
        <x:v>Boardsmith Canonical QA Backlog</x:v>
      </x:c>
      <x:c r="R1" s="65" t="str">
        <x:v>Boardsmith Canonical QA Backlog</x:v>
      </x:c>
      <x:c r="S1" s="65" t="str">
        <x:v>Boardsmith Canonical QA Backlog</x:v>
      </x:c>
      <x:c r="T1" s="66" t="str">
        <x:v>Boardsmith Canonical QA Backlog</x:v>
      </x:c>
    </x:row>
    <x:row r="2">
      <x:c r="A2" s="42" t="str">
        <x:v>Use this sheet as the active QA backlog. One row per confirmed friction item; historical evidence belongs in docs/REAL_PROJECT_DOGFOOD_FINDINGS.md, and accepted implementation work belongs in docs/CODEX_TASKS.md.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  <x:c r="R2" s="42"/>
      <x:c r="S2" s="42"/>
      <x:c r="T2" s="42"/>
    </x:row>
    <x:row r="3">
      <x:c r="A3" s="28" t="str">
        <x:v>Backlog ID</x:v>
      </x:c>
      <x:c r="B3" s="29" t="str">
        <x:v>Story ID</x:v>
      </x:c>
      <x:c r="C3" s="29" t="str">
        <x:v>Scenario</x:v>
      </x:c>
      <x:c r="D3" s="29" t="str">
        <x:v>Page / Flow</x:v>
      </x:c>
      <x:c r="E3" s="29" t="str">
        <x:v>User Goal</x:v>
      </x:c>
      <x:c r="F3" s="29" t="str">
        <x:v>What Happened</x:v>
      </x:c>
      <x:c r="G3" s="29" t="str">
        <x:v>Why It Matters</x:v>
      </x:c>
      <x:c r="H3" s="29" t="str">
        <x:v>Suggested Fix</x:v>
      </x:c>
      <x:c r="I3" s="29" t="str">
        <x:v>Severity</x:v>
      </x:c>
      <x:c r="J3" s="29" t="str">
        <x:v>Confidence</x:v>
      </x:c>
      <x:c r="K3" s="29" t="str">
        <x:v>Backlog Status</x:v>
      </x:c>
      <x:c r="L3" s="29" t="str">
        <x:v>Repeat Count</x:v>
      </x:c>
      <x:c r="M3" s="29" t="str">
        <x:v>Evidence Link</x:v>
      </x:c>
      <x:c r="N3" s="29" t="str">
        <x:v>Source Finding</x:v>
      </x:c>
      <x:c r="O3" s="29" t="str">
        <x:v>Should Become Playwright Test</x:v>
      </x:c>
      <x:c r="P3" s="29" t="str">
        <x:v>Owner</x:v>
      </x:c>
      <x:c r="Q3" s="29" t="str">
        <x:v>Next Action</x:v>
      </x:c>
      <x:c r="R3" s="29" t="str">
        <x:v>Fix Commit / PR</x:v>
      </x:c>
      <x:c r="S3" s="29" t="str">
        <x:v>Retest Result</x:v>
      </x:c>
      <x:c r="T3" s="30" t="str">
        <x:v>Last Updated</x:v>
      </x:c>
    </x:row>
    <x:row r="4">
      <x:c r="A4" s="36"/>
      <x:c r="B4" s="37"/>
      <x:c r="C4" s="37"/>
      <x:c r="D4" s="37"/>
      <x:c r="E4" s="37"/>
      <x:c r="F4" s="37"/>
      <x:c r="G4" s="37"/>
      <x:c r="H4" s="37"/>
      <x:c r="I4" s="37"/>
      <x:c r="J4" s="37"/>
      <x:c r="K4" s="37"/>
      <x:c r="L4" s="43"/>
      <x:c r="M4" s="37"/>
      <x:c r="N4" s="37"/>
      <x:c r="O4" s="37"/>
      <x:c r="P4" s="37"/>
      <x:c r="Q4" s="37"/>
      <x:c r="R4" s="37"/>
      <x:c r="S4" s="37"/>
      <x:c r="T4" s="45"/>
    </x:row>
    <x:row r="5">
      <x:c r="A5" s="36"/>
      <x:c r="B5" s="37"/>
      <x:c r="C5" s="37"/>
      <x:c r="D5" s="37"/>
      <x:c r="E5" s="37"/>
      <x:c r="F5" s="37"/>
      <x:c r="G5" s="37"/>
      <x:c r="H5" s="37"/>
      <x:c r="I5" s="37"/>
      <x:c r="J5" s="37"/>
      <x:c r="K5" s="37"/>
      <x:c r="L5" s="43"/>
      <x:c r="M5" s="37"/>
      <x:c r="N5" s="37"/>
      <x:c r="O5" s="37"/>
      <x:c r="P5" s="37"/>
      <x:c r="Q5" s="37"/>
      <x:c r="R5" s="37"/>
      <x:c r="S5" s="37"/>
      <x:c r="T5" s="45"/>
    </x:row>
    <x:row r="6">
      <x:c r="A6" s="36"/>
      <x:c r="B6" s="37"/>
      <x:c r="C6" s="37"/>
      <x:c r="D6" s="37"/>
      <x:c r="E6" s="37"/>
      <x:c r="F6" s="37"/>
      <x:c r="G6" s="37"/>
      <x:c r="H6" s="37"/>
      <x:c r="I6" s="37"/>
      <x:c r="J6" s="37"/>
      <x:c r="K6" s="37"/>
      <x:c r="L6" s="43"/>
      <x:c r="M6" s="37"/>
      <x:c r="N6" s="37"/>
      <x:c r="O6" s="37"/>
      <x:c r="P6" s="37"/>
      <x:c r="Q6" s="37"/>
      <x:c r="R6" s="37"/>
      <x:c r="S6" s="37"/>
      <x:c r="T6" s="45"/>
    </x:row>
    <x:row r="7">
      <x:c r="A7" s="36"/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43"/>
      <x:c r="M7" s="37"/>
      <x:c r="N7" s="37"/>
      <x:c r="O7" s="37"/>
      <x:c r="P7" s="37"/>
      <x:c r="Q7" s="37"/>
      <x:c r="R7" s="37"/>
      <x:c r="S7" s="37"/>
      <x:c r="T7" s="45"/>
    </x:row>
    <x:row r="8">
      <x:c r="A8" s="36"/>
      <x:c r="B8" s="37"/>
      <x:c r="C8" s="37"/>
      <x:c r="D8" s="37"/>
      <x:c r="E8" s="37"/>
      <x:c r="F8" s="37"/>
      <x:c r="G8" s="37"/>
      <x:c r="H8" s="37"/>
      <x:c r="I8" s="37"/>
      <x:c r="J8" s="37"/>
      <x:c r="K8" s="37"/>
      <x:c r="L8" s="43"/>
      <x:c r="M8" s="37"/>
      <x:c r="N8" s="37"/>
      <x:c r="O8" s="37"/>
      <x:c r="P8" s="37"/>
      <x:c r="Q8" s="37"/>
      <x:c r="R8" s="37"/>
      <x:c r="S8" s="37"/>
      <x:c r="T8" s="45"/>
    </x:row>
    <x:row r="9">
      <x:c r="A9" s="36"/>
      <x:c r="B9" s="37"/>
      <x:c r="C9" s="37"/>
      <x:c r="D9" s="37"/>
      <x:c r="E9" s="37"/>
      <x:c r="F9" s="37"/>
      <x:c r="G9" s="37"/>
      <x:c r="H9" s="37"/>
      <x:c r="I9" s="37"/>
      <x:c r="J9" s="37"/>
      <x:c r="K9" s="37"/>
      <x:c r="L9" s="43"/>
      <x:c r="M9" s="37"/>
      <x:c r="N9" s="37"/>
      <x:c r="O9" s="37"/>
      <x:c r="P9" s="37"/>
      <x:c r="Q9" s="37"/>
      <x:c r="R9" s="37"/>
      <x:c r="S9" s="37"/>
      <x:c r="T9" s="45"/>
    </x:row>
    <x:row r="10">
      <x:c r="A10" s="36"/>
      <x:c r="B10" s="37"/>
      <x:c r="C10" s="37"/>
      <x:c r="D10" s="37"/>
      <x:c r="E10" s="37"/>
      <x:c r="F10" s="37"/>
      <x:c r="G10" s="37"/>
      <x:c r="H10" s="37"/>
      <x:c r="I10" s="37"/>
      <x:c r="J10" s="37"/>
      <x:c r="K10" s="37"/>
      <x:c r="L10" s="43"/>
      <x:c r="M10" s="37"/>
      <x:c r="N10" s="37"/>
      <x:c r="O10" s="37"/>
      <x:c r="P10" s="37"/>
      <x:c r="Q10" s="37"/>
      <x:c r="R10" s="37"/>
      <x:c r="S10" s="37"/>
      <x:c r="T10" s="45"/>
    </x:row>
    <x:row r="11">
      <x:c r="A11" s="36"/>
      <x:c r="B11" s="37"/>
      <x:c r="C11" s="37"/>
      <x:c r="D11" s="37"/>
      <x:c r="E11" s="37"/>
      <x:c r="F11" s="37"/>
      <x:c r="G11" s="37"/>
      <x:c r="H11" s="37"/>
      <x:c r="I11" s="37"/>
      <x:c r="J11" s="37"/>
      <x:c r="K11" s="37"/>
      <x:c r="L11" s="43"/>
      <x:c r="M11" s="37"/>
      <x:c r="N11" s="37"/>
      <x:c r="O11" s="37"/>
      <x:c r="P11" s="37"/>
      <x:c r="Q11" s="37"/>
      <x:c r="R11" s="37"/>
      <x:c r="S11" s="37"/>
      <x:c r="T11" s="45"/>
    </x:row>
    <x:row r="12">
      <x:c r="A12" s="36"/>
      <x:c r="B12" s="37"/>
      <x:c r="C12" s="37"/>
      <x:c r="D12" s="37"/>
      <x:c r="E12" s="37"/>
      <x:c r="F12" s="37"/>
      <x:c r="G12" s="37"/>
      <x:c r="H12" s="37"/>
      <x:c r="I12" s="37"/>
      <x:c r="J12" s="37"/>
      <x:c r="K12" s="37"/>
      <x:c r="L12" s="43"/>
      <x:c r="M12" s="37"/>
      <x:c r="N12" s="37"/>
      <x:c r="O12" s="37"/>
      <x:c r="P12" s="37"/>
      <x:c r="Q12" s="37"/>
      <x:c r="R12" s="37"/>
      <x:c r="S12" s="37"/>
      <x:c r="T12" s="45"/>
    </x:row>
    <x:row r="13">
      <x:c r="A13" s="36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43"/>
      <x:c r="M13" s="37"/>
      <x:c r="N13" s="37"/>
      <x:c r="O13" s="37"/>
      <x:c r="P13" s="37"/>
      <x:c r="Q13" s="37"/>
      <x:c r="R13" s="37"/>
      <x:c r="S13" s="37"/>
      <x:c r="T13" s="45"/>
    </x:row>
    <x:row r="14">
      <x:c r="A14" s="36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43"/>
      <x:c r="M14" s="37"/>
      <x:c r="N14" s="37"/>
      <x:c r="O14" s="37"/>
      <x:c r="P14" s="37"/>
      <x:c r="Q14" s="37"/>
      <x:c r="R14" s="37"/>
      <x:c r="S14" s="37"/>
      <x:c r="T14" s="45"/>
    </x:row>
    <x:row r="15">
      <x:c r="A15" s="36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43"/>
      <x:c r="M15" s="37"/>
      <x:c r="N15" s="37"/>
      <x:c r="O15" s="37"/>
      <x:c r="P15" s="37"/>
      <x:c r="Q15" s="37"/>
      <x:c r="R15" s="37"/>
      <x:c r="S15" s="37"/>
      <x:c r="T15" s="45"/>
    </x:row>
    <x:row r="16">
      <x:c r="A16" s="36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43"/>
      <x:c r="M16" s="37"/>
      <x:c r="N16" s="37"/>
      <x:c r="O16" s="37"/>
      <x:c r="P16" s="37"/>
      <x:c r="Q16" s="37"/>
      <x:c r="R16" s="37"/>
      <x:c r="S16" s="37"/>
      <x:c r="T16" s="45"/>
    </x:row>
    <x:row r="17">
      <x:c r="A17" s="36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43"/>
      <x:c r="M17" s="37"/>
      <x:c r="N17" s="37"/>
      <x:c r="O17" s="37"/>
      <x:c r="P17" s="37"/>
      <x:c r="Q17" s="37"/>
      <x:c r="R17" s="37"/>
      <x:c r="S17" s="37"/>
      <x:c r="T17" s="45"/>
    </x:row>
    <x:row r="18">
      <x:c r="A18" s="36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43"/>
      <x:c r="M18" s="37"/>
      <x:c r="N18" s="37"/>
      <x:c r="O18" s="37"/>
      <x:c r="P18" s="37"/>
      <x:c r="Q18" s="37"/>
      <x:c r="R18" s="37"/>
      <x:c r="S18" s="37"/>
      <x:c r="T18" s="45"/>
    </x:row>
    <x:row r="19">
      <x:c r="A19" s="36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43"/>
      <x:c r="M19" s="37"/>
      <x:c r="N19" s="37"/>
      <x:c r="O19" s="37"/>
      <x:c r="P19" s="37"/>
      <x:c r="Q19" s="37"/>
      <x:c r="R19" s="37"/>
      <x:c r="S19" s="37"/>
      <x:c r="T19" s="45"/>
    </x:row>
    <x:row r="20">
      <x:c r="A20" s="36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43"/>
      <x:c r="M20" s="37"/>
      <x:c r="N20" s="37"/>
      <x:c r="O20" s="37"/>
      <x:c r="P20" s="37"/>
      <x:c r="Q20" s="37"/>
      <x:c r="R20" s="37"/>
      <x:c r="S20" s="37"/>
      <x:c r="T20" s="45"/>
    </x:row>
    <x:row r="21">
      <x:c r="A21" s="36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43"/>
      <x:c r="M21" s="37"/>
      <x:c r="N21" s="37"/>
      <x:c r="O21" s="37"/>
      <x:c r="P21" s="37"/>
      <x:c r="Q21" s="37"/>
      <x:c r="R21" s="37"/>
      <x:c r="S21" s="37"/>
      <x:c r="T21" s="45"/>
    </x:row>
    <x:row r="22">
      <x:c r="A22" s="36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43"/>
      <x:c r="M22" s="37"/>
      <x:c r="N22" s="37"/>
      <x:c r="O22" s="37"/>
      <x:c r="P22" s="37"/>
      <x:c r="Q22" s="37"/>
      <x:c r="R22" s="37"/>
      <x:c r="S22" s="37"/>
      <x:c r="T22" s="45"/>
    </x:row>
    <x:row r="23">
      <x:c r="A23" s="36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43"/>
      <x:c r="M23" s="37"/>
      <x:c r="N23" s="37"/>
      <x:c r="O23" s="37"/>
      <x:c r="P23" s="37"/>
      <x:c r="Q23" s="37"/>
      <x:c r="R23" s="37"/>
      <x:c r="S23" s="37"/>
      <x:c r="T23" s="45"/>
    </x:row>
    <x:row r="24">
      <x:c r="A24" s="36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43"/>
      <x:c r="M24" s="37"/>
      <x:c r="N24" s="37"/>
      <x:c r="O24" s="37"/>
      <x:c r="P24" s="37"/>
      <x:c r="Q24" s="37"/>
      <x:c r="R24" s="37"/>
      <x:c r="S24" s="37"/>
      <x:c r="T24" s="45"/>
    </x:row>
    <x:row r="25">
      <x:c r="A25" s="36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43"/>
      <x:c r="M25" s="37"/>
      <x:c r="N25" s="37"/>
      <x:c r="O25" s="37"/>
      <x:c r="P25" s="37"/>
      <x:c r="Q25" s="37"/>
      <x:c r="R25" s="37"/>
      <x:c r="S25" s="37"/>
      <x:c r="T25" s="45"/>
    </x:row>
    <x:row r="26">
      <x:c r="A26" s="36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43"/>
      <x:c r="M26" s="37"/>
      <x:c r="N26" s="37"/>
      <x:c r="O26" s="37"/>
      <x:c r="P26" s="37"/>
      <x:c r="Q26" s="37"/>
      <x:c r="R26" s="37"/>
      <x:c r="S26" s="37"/>
      <x:c r="T26" s="45"/>
    </x:row>
    <x:row r="27">
      <x:c r="A27" s="36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43"/>
      <x:c r="M27" s="37"/>
      <x:c r="N27" s="37"/>
      <x:c r="O27" s="37"/>
      <x:c r="P27" s="37"/>
      <x:c r="Q27" s="37"/>
      <x:c r="R27" s="37"/>
      <x:c r="S27" s="37"/>
      <x:c r="T27" s="45"/>
    </x:row>
    <x:row r="28">
      <x:c r="A28" s="36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43"/>
      <x:c r="M28" s="37"/>
      <x:c r="N28" s="37"/>
      <x:c r="O28" s="37"/>
      <x:c r="P28" s="37"/>
      <x:c r="Q28" s="37"/>
      <x:c r="R28" s="37"/>
      <x:c r="S28" s="37"/>
      <x:c r="T28" s="45"/>
    </x:row>
    <x:row r="29">
      <x:c r="A29" s="36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43"/>
      <x:c r="M29" s="37"/>
      <x:c r="N29" s="37"/>
      <x:c r="O29" s="37"/>
      <x:c r="P29" s="37"/>
      <x:c r="Q29" s="37"/>
      <x:c r="R29" s="37"/>
      <x:c r="S29" s="37"/>
      <x:c r="T29" s="45"/>
    </x:row>
    <x:row r="30">
      <x:c r="A30" s="36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43"/>
      <x:c r="M30" s="37"/>
      <x:c r="N30" s="37"/>
      <x:c r="O30" s="37"/>
      <x:c r="P30" s="37"/>
      <x:c r="Q30" s="37"/>
      <x:c r="R30" s="37"/>
      <x:c r="S30" s="37"/>
      <x:c r="T30" s="45"/>
    </x:row>
    <x:row r="31">
      <x:c r="A31" s="36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43"/>
      <x:c r="M31" s="37"/>
      <x:c r="N31" s="37"/>
      <x:c r="O31" s="37"/>
      <x:c r="P31" s="37"/>
      <x:c r="Q31" s="37"/>
      <x:c r="R31" s="37"/>
      <x:c r="S31" s="37"/>
      <x:c r="T31" s="45"/>
    </x:row>
    <x:row r="32">
      <x:c r="A32" s="36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43"/>
      <x:c r="M32" s="37"/>
      <x:c r="N32" s="37"/>
      <x:c r="O32" s="37"/>
      <x:c r="P32" s="37"/>
      <x:c r="Q32" s="37"/>
      <x:c r="R32" s="37"/>
      <x:c r="S32" s="37"/>
      <x:c r="T32" s="45"/>
    </x:row>
    <x:row r="33">
      <x:c r="A33" s="36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43"/>
      <x:c r="M33" s="37"/>
      <x:c r="N33" s="37"/>
      <x:c r="O33" s="37"/>
      <x:c r="P33" s="37"/>
      <x:c r="Q33" s="37"/>
      <x:c r="R33" s="37"/>
      <x:c r="S33" s="37"/>
      <x:c r="T33" s="45"/>
    </x:row>
    <x:row r="34">
      <x:c r="A34" s="36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43"/>
      <x:c r="M34" s="37"/>
      <x:c r="N34" s="37"/>
      <x:c r="O34" s="37"/>
      <x:c r="P34" s="37"/>
      <x:c r="Q34" s="37"/>
      <x:c r="R34" s="37"/>
      <x:c r="S34" s="37"/>
      <x:c r="T34" s="45"/>
    </x:row>
    <x:row r="35">
      <x:c r="A35" s="36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43"/>
      <x:c r="M35" s="37"/>
      <x:c r="N35" s="37"/>
      <x:c r="O35" s="37"/>
      <x:c r="P35" s="37"/>
      <x:c r="Q35" s="37"/>
      <x:c r="R35" s="37"/>
      <x:c r="S35" s="37"/>
      <x:c r="T35" s="45"/>
    </x:row>
    <x:row r="36">
      <x:c r="A36" s="36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43"/>
      <x:c r="M36" s="37"/>
      <x:c r="N36" s="37"/>
      <x:c r="O36" s="37"/>
      <x:c r="P36" s="37"/>
      <x:c r="Q36" s="37"/>
      <x:c r="R36" s="37"/>
      <x:c r="S36" s="37"/>
      <x:c r="T36" s="45"/>
    </x:row>
    <x:row r="37">
      <x:c r="A37" s="36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43"/>
      <x:c r="M37" s="37"/>
      <x:c r="N37" s="37"/>
      <x:c r="O37" s="37"/>
      <x:c r="P37" s="37"/>
      <x:c r="Q37" s="37"/>
      <x:c r="R37" s="37"/>
      <x:c r="S37" s="37"/>
      <x:c r="T37" s="45"/>
    </x:row>
    <x:row r="38">
      <x:c r="A38" s="36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43"/>
      <x:c r="M38" s="37"/>
      <x:c r="N38" s="37"/>
      <x:c r="O38" s="37"/>
      <x:c r="P38" s="37"/>
      <x:c r="Q38" s="37"/>
      <x:c r="R38" s="37"/>
      <x:c r="S38" s="37"/>
      <x:c r="T38" s="45"/>
    </x:row>
    <x:row r="39">
      <x:c r="A39" s="36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43"/>
      <x:c r="M39" s="37"/>
      <x:c r="N39" s="37"/>
      <x:c r="O39" s="37"/>
      <x:c r="P39" s="37"/>
      <x:c r="Q39" s="37"/>
      <x:c r="R39" s="37"/>
      <x:c r="S39" s="37"/>
      <x:c r="T39" s="45"/>
    </x:row>
    <x:row r="40">
      <x:c r="A40" s="36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43"/>
      <x:c r="M40" s="37"/>
      <x:c r="N40" s="37"/>
      <x:c r="O40" s="37"/>
      <x:c r="P40" s="37"/>
      <x:c r="Q40" s="37"/>
      <x:c r="R40" s="37"/>
      <x:c r="S40" s="37"/>
      <x:c r="T40" s="45"/>
    </x:row>
    <x:row r="41">
      <x:c r="A41" s="36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43"/>
      <x:c r="M41" s="37"/>
      <x:c r="N41" s="37"/>
      <x:c r="O41" s="37"/>
      <x:c r="P41" s="37"/>
      <x:c r="Q41" s="37"/>
      <x:c r="R41" s="37"/>
      <x:c r="S41" s="37"/>
      <x:c r="T41" s="45"/>
    </x:row>
    <x:row r="42">
      <x:c r="A42" s="36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43"/>
      <x:c r="M42" s="37"/>
      <x:c r="N42" s="37"/>
      <x:c r="O42" s="37"/>
      <x:c r="P42" s="37"/>
      <x:c r="Q42" s="37"/>
      <x:c r="R42" s="37"/>
      <x:c r="S42" s="37"/>
      <x:c r="T42" s="45"/>
    </x:row>
    <x:row r="43">
      <x:c r="A43" s="36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43"/>
      <x:c r="M43" s="37"/>
      <x:c r="N43" s="37"/>
      <x:c r="O43" s="37"/>
      <x:c r="P43" s="37"/>
      <x:c r="Q43" s="37"/>
      <x:c r="R43" s="37"/>
      <x:c r="S43" s="37"/>
      <x:c r="T43" s="45"/>
    </x:row>
    <x:row r="44">
      <x:c r="A44" s="36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43"/>
      <x:c r="M44" s="37"/>
      <x:c r="N44" s="37"/>
      <x:c r="O44" s="37"/>
      <x:c r="P44" s="37"/>
      <x:c r="Q44" s="37"/>
      <x:c r="R44" s="37"/>
      <x:c r="S44" s="37"/>
      <x:c r="T44" s="45"/>
    </x:row>
    <x:row r="45">
      <x:c r="A45" s="36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43"/>
      <x:c r="M45" s="37"/>
      <x:c r="N45" s="37"/>
      <x:c r="O45" s="37"/>
      <x:c r="P45" s="37"/>
      <x:c r="Q45" s="37"/>
      <x:c r="R45" s="37"/>
      <x:c r="S45" s="37"/>
      <x:c r="T45" s="45"/>
    </x:row>
    <x:row r="46">
      <x:c r="A46" s="36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43"/>
      <x:c r="M46" s="37"/>
      <x:c r="N46" s="37"/>
      <x:c r="O46" s="37"/>
      <x:c r="P46" s="37"/>
      <x:c r="Q46" s="37"/>
      <x:c r="R46" s="37"/>
      <x:c r="S46" s="37"/>
      <x:c r="T46" s="45"/>
    </x:row>
    <x:row r="47">
      <x:c r="A47" s="36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43"/>
      <x:c r="M47" s="37"/>
      <x:c r="N47" s="37"/>
      <x:c r="O47" s="37"/>
      <x:c r="P47" s="37"/>
      <x:c r="Q47" s="37"/>
      <x:c r="R47" s="37"/>
      <x:c r="S47" s="37"/>
      <x:c r="T47" s="45"/>
    </x:row>
    <x:row r="48">
      <x:c r="A48" s="36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43"/>
      <x:c r="M48" s="37"/>
      <x:c r="N48" s="37"/>
      <x:c r="O48" s="37"/>
      <x:c r="P48" s="37"/>
      <x:c r="Q48" s="37"/>
      <x:c r="R48" s="37"/>
      <x:c r="S48" s="37"/>
      <x:c r="T48" s="45"/>
    </x:row>
    <x:row r="49">
      <x:c r="A49" s="36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43"/>
      <x:c r="M49" s="37"/>
      <x:c r="N49" s="37"/>
      <x:c r="O49" s="37"/>
      <x:c r="P49" s="37"/>
      <x:c r="Q49" s="37"/>
      <x:c r="R49" s="37"/>
      <x:c r="S49" s="37"/>
      <x:c r="T49" s="45"/>
    </x:row>
    <x:row r="50">
      <x:c r="A50" s="36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43"/>
      <x:c r="M50" s="37"/>
      <x:c r="N50" s="37"/>
      <x:c r="O50" s="37"/>
      <x:c r="P50" s="37"/>
      <x:c r="Q50" s="37"/>
      <x:c r="R50" s="37"/>
      <x:c r="S50" s="37"/>
      <x:c r="T50" s="45"/>
    </x:row>
    <x:row r="51">
      <x:c r="A51" s="36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43"/>
      <x:c r="M51" s="37"/>
      <x:c r="N51" s="37"/>
      <x:c r="O51" s="37"/>
      <x:c r="P51" s="37"/>
      <x:c r="Q51" s="37"/>
      <x:c r="R51" s="37"/>
      <x:c r="S51" s="37"/>
      <x:c r="T51" s="45"/>
    </x:row>
    <x:row r="52">
      <x:c r="A52" s="36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43"/>
      <x:c r="M52" s="37"/>
      <x:c r="N52" s="37"/>
      <x:c r="O52" s="37"/>
      <x:c r="P52" s="37"/>
      <x:c r="Q52" s="37"/>
      <x:c r="R52" s="37"/>
      <x:c r="S52" s="37"/>
      <x:c r="T52" s="45"/>
    </x:row>
    <x:row r="53">
      <x:c r="A53" s="36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43"/>
      <x:c r="M53" s="37"/>
      <x:c r="N53" s="37"/>
      <x:c r="O53" s="37"/>
      <x:c r="P53" s="37"/>
      <x:c r="Q53" s="37"/>
      <x:c r="R53" s="37"/>
      <x:c r="S53" s="37"/>
      <x:c r="T53" s="45"/>
    </x:row>
    <x:row r="54">
      <x:c r="A54" s="36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43"/>
      <x:c r="M54" s="37"/>
      <x:c r="N54" s="37"/>
      <x:c r="O54" s="37"/>
      <x:c r="P54" s="37"/>
      <x:c r="Q54" s="37"/>
      <x:c r="R54" s="37"/>
      <x:c r="S54" s="37"/>
      <x:c r="T54" s="45"/>
    </x:row>
    <x:row r="55">
      <x:c r="A55" s="36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43"/>
      <x:c r="M55" s="37"/>
      <x:c r="N55" s="37"/>
      <x:c r="O55" s="37"/>
      <x:c r="P55" s="37"/>
      <x:c r="Q55" s="37"/>
      <x:c r="R55" s="37"/>
      <x:c r="S55" s="37"/>
      <x:c r="T55" s="45"/>
    </x:row>
    <x:row r="56">
      <x:c r="A56" s="36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43"/>
      <x:c r="M56" s="37"/>
      <x:c r="N56" s="37"/>
      <x:c r="O56" s="37"/>
      <x:c r="P56" s="37"/>
      <x:c r="Q56" s="37"/>
      <x:c r="R56" s="37"/>
      <x:c r="S56" s="37"/>
      <x:c r="T56" s="45"/>
    </x:row>
    <x:row r="57">
      <x:c r="A57" s="36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43"/>
      <x:c r="M57" s="37"/>
      <x:c r="N57" s="37"/>
      <x:c r="O57" s="37"/>
      <x:c r="P57" s="37"/>
      <x:c r="Q57" s="37"/>
      <x:c r="R57" s="37"/>
      <x:c r="S57" s="37"/>
      <x:c r="T57" s="45"/>
    </x:row>
    <x:row r="58">
      <x:c r="A58" s="36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43"/>
      <x:c r="M58" s="37"/>
      <x:c r="N58" s="37"/>
      <x:c r="O58" s="37"/>
      <x:c r="P58" s="37"/>
      <x:c r="Q58" s="37"/>
      <x:c r="R58" s="37"/>
      <x:c r="S58" s="37"/>
      <x:c r="T58" s="45"/>
    </x:row>
    <x:row r="59">
      <x:c r="A59" s="36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43"/>
      <x:c r="M59" s="37"/>
      <x:c r="N59" s="37"/>
      <x:c r="O59" s="37"/>
      <x:c r="P59" s="37"/>
      <x:c r="Q59" s="37"/>
      <x:c r="R59" s="37"/>
      <x:c r="S59" s="37"/>
      <x:c r="T59" s="45"/>
    </x:row>
    <x:row r="60">
      <x:c r="A60" s="36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43"/>
      <x:c r="M60" s="37"/>
      <x:c r="N60" s="37"/>
      <x:c r="O60" s="37"/>
      <x:c r="P60" s="37"/>
      <x:c r="Q60" s="37"/>
      <x:c r="R60" s="37"/>
      <x:c r="S60" s="37"/>
      <x:c r="T60" s="45"/>
    </x:row>
    <x:row r="61">
      <x:c r="A61" s="36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43"/>
      <x:c r="M61" s="37"/>
      <x:c r="N61" s="37"/>
      <x:c r="O61" s="37"/>
      <x:c r="P61" s="37"/>
      <x:c r="Q61" s="37"/>
      <x:c r="R61" s="37"/>
      <x:c r="S61" s="37"/>
      <x:c r="T61" s="45"/>
    </x:row>
    <x:row r="62">
      <x:c r="A62" s="36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43"/>
      <x:c r="M62" s="37"/>
      <x:c r="N62" s="37"/>
      <x:c r="O62" s="37"/>
      <x:c r="P62" s="37"/>
      <x:c r="Q62" s="37"/>
      <x:c r="R62" s="37"/>
      <x:c r="S62" s="37"/>
      <x:c r="T62" s="45"/>
    </x:row>
    <x:row r="63">
      <x:c r="A63" s="36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43"/>
      <x:c r="M63" s="37"/>
      <x:c r="N63" s="37"/>
      <x:c r="O63" s="37"/>
      <x:c r="P63" s="37"/>
      <x:c r="Q63" s="37"/>
      <x:c r="R63" s="37"/>
      <x:c r="S63" s="37"/>
      <x:c r="T63" s="45"/>
    </x:row>
    <x:row r="64">
      <x:c r="A64" s="36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43"/>
      <x:c r="M64" s="37"/>
      <x:c r="N64" s="37"/>
      <x:c r="O64" s="37"/>
      <x:c r="P64" s="37"/>
      <x:c r="Q64" s="37"/>
      <x:c r="R64" s="37"/>
      <x:c r="S64" s="37"/>
      <x:c r="T64" s="45"/>
    </x:row>
    <x:row r="65">
      <x:c r="A65" s="36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43"/>
      <x:c r="M65" s="37"/>
      <x:c r="N65" s="37"/>
      <x:c r="O65" s="37"/>
      <x:c r="P65" s="37"/>
      <x:c r="Q65" s="37"/>
      <x:c r="R65" s="37"/>
      <x:c r="S65" s="37"/>
      <x:c r="T65" s="45"/>
    </x:row>
    <x:row r="66">
      <x:c r="A66" s="36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43"/>
      <x:c r="M66" s="37"/>
      <x:c r="N66" s="37"/>
      <x:c r="O66" s="37"/>
      <x:c r="P66" s="37"/>
      <x:c r="Q66" s="37"/>
      <x:c r="R66" s="37"/>
      <x:c r="S66" s="37"/>
      <x:c r="T66" s="45"/>
    </x:row>
    <x:row r="67">
      <x:c r="A67" s="36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43"/>
      <x:c r="M67" s="37"/>
      <x:c r="N67" s="37"/>
      <x:c r="O67" s="37"/>
      <x:c r="P67" s="37"/>
      <x:c r="Q67" s="37"/>
      <x:c r="R67" s="37"/>
      <x:c r="S67" s="37"/>
      <x:c r="T67" s="45"/>
    </x:row>
    <x:row r="68">
      <x:c r="A68" s="36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43"/>
      <x:c r="M68" s="37"/>
      <x:c r="N68" s="37"/>
      <x:c r="O68" s="37"/>
      <x:c r="P68" s="37"/>
      <x:c r="Q68" s="37"/>
      <x:c r="R68" s="37"/>
      <x:c r="S68" s="37"/>
      <x:c r="T68" s="45"/>
    </x:row>
    <x:row r="69">
      <x:c r="A69" s="36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43"/>
      <x:c r="M69" s="37"/>
      <x:c r="N69" s="37"/>
      <x:c r="O69" s="37"/>
      <x:c r="P69" s="37"/>
      <x:c r="Q69" s="37"/>
      <x:c r="R69" s="37"/>
      <x:c r="S69" s="37"/>
      <x:c r="T69" s="45"/>
    </x:row>
    <x:row r="70">
      <x:c r="A70" s="36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43"/>
      <x:c r="M70" s="37"/>
      <x:c r="N70" s="37"/>
      <x:c r="O70" s="37"/>
      <x:c r="P70" s="37"/>
      <x:c r="Q70" s="37"/>
      <x:c r="R70" s="37"/>
      <x:c r="S70" s="37"/>
      <x:c r="T70" s="45"/>
    </x:row>
    <x:row r="71">
      <x:c r="A71" s="36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43"/>
      <x:c r="M71" s="37"/>
      <x:c r="N71" s="37"/>
      <x:c r="O71" s="37"/>
      <x:c r="P71" s="37"/>
      <x:c r="Q71" s="37"/>
      <x:c r="R71" s="37"/>
      <x:c r="S71" s="37"/>
      <x:c r="T71" s="45"/>
    </x:row>
    <x:row r="72">
      <x:c r="A72" s="36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43"/>
      <x:c r="M72" s="37"/>
      <x:c r="N72" s="37"/>
      <x:c r="O72" s="37"/>
      <x:c r="P72" s="37"/>
      <x:c r="Q72" s="37"/>
      <x:c r="R72" s="37"/>
      <x:c r="S72" s="37"/>
      <x:c r="T72" s="45"/>
    </x:row>
    <x:row r="73">
      <x:c r="A73" s="36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43"/>
      <x:c r="M73" s="37"/>
      <x:c r="N73" s="37"/>
      <x:c r="O73" s="37"/>
      <x:c r="P73" s="37"/>
      <x:c r="Q73" s="37"/>
      <x:c r="R73" s="37"/>
      <x:c r="S73" s="37"/>
      <x:c r="T73" s="45"/>
    </x:row>
    <x:row r="74">
      <x:c r="A74" s="36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43"/>
      <x:c r="M74" s="37"/>
      <x:c r="N74" s="37"/>
      <x:c r="O74" s="37"/>
      <x:c r="P74" s="37"/>
      <x:c r="Q74" s="37"/>
      <x:c r="R74" s="37"/>
      <x:c r="S74" s="37"/>
      <x:c r="T74" s="45"/>
    </x:row>
    <x:row r="75">
      <x:c r="A75" s="36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43"/>
      <x:c r="M75" s="37"/>
      <x:c r="N75" s="37"/>
      <x:c r="O75" s="37"/>
      <x:c r="P75" s="37"/>
      <x:c r="Q75" s="37"/>
      <x:c r="R75" s="37"/>
      <x:c r="S75" s="37"/>
      <x:c r="T75" s="45"/>
    </x:row>
    <x:row r="76">
      <x:c r="A76" s="36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43"/>
      <x:c r="M76" s="37"/>
      <x:c r="N76" s="37"/>
      <x:c r="O76" s="37"/>
      <x:c r="P76" s="37"/>
      <x:c r="Q76" s="37"/>
      <x:c r="R76" s="37"/>
      <x:c r="S76" s="37"/>
      <x:c r="T76" s="45"/>
    </x:row>
    <x:row r="77">
      <x:c r="A77" s="36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43"/>
      <x:c r="M77" s="37"/>
      <x:c r="N77" s="37"/>
      <x:c r="O77" s="37"/>
      <x:c r="P77" s="37"/>
      <x:c r="Q77" s="37"/>
      <x:c r="R77" s="37"/>
      <x:c r="S77" s="37"/>
      <x:c r="T77" s="45"/>
    </x:row>
    <x:row r="78">
      <x:c r="A78" s="36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43"/>
      <x:c r="M78" s="37"/>
      <x:c r="N78" s="37"/>
      <x:c r="O78" s="37"/>
      <x:c r="P78" s="37"/>
      <x:c r="Q78" s="37"/>
      <x:c r="R78" s="37"/>
      <x:c r="S78" s="37"/>
      <x:c r="T78" s="45"/>
    </x:row>
    <x:row r="79">
      <x:c r="A79" s="36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43"/>
      <x:c r="M79" s="37"/>
      <x:c r="N79" s="37"/>
      <x:c r="O79" s="37"/>
      <x:c r="P79" s="37"/>
      <x:c r="Q79" s="37"/>
      <x:c r="R79" s="37"/>
      <x:c r="S79" s="37"/>
      <x:c r="T79" s="45"/>
    </x:row>
    <x:row r="80">
      <x:c r="A80" s="36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43"/>
      <x:c r="M80" s="37"/>
      <x:c r="N80" s="37"/>
      <x:c r="O80" s="37"/>
      <x:c r="P80" s="37"/>
      <x:c r="Q80" s="37"/>
      <x:c r="R80" s="37"/>
      <x:c r="S80" s="37"/>
      <x:c r="T80" s="45"/>
    </x:row>
    <x:row r="81">
      <x:c r="A81" s="36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43"/>
      <x:c r="M81" s="37"/>
      <x:c r="N81" s="37"/>
      <x:c r="O81" s="37"/>
      <x:c r="P81" s="37"/>
      <x:c r="Q81" s="37"/>
      <x:c r="R81" s="37"/>
      <x:c r="S81" s="37"/>
      <x:c r="T81" s="45"/>
    </x:row>
    <x:row r="82">
      <x:c r="A82" s="36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43"/>
      <x:c r="M82" s="37"/>
      <x:c r="N82" s="37"/>
      <x:c r="O82" s="37"/>
      <x:c r="P82" s="37"/>
      <x:c r="Q82" s="37"/>
      <x:c r="R82" s="37"/>
      <x:c r="S82" s="37"/>
      <x:c r="T82" s="45"/>
    </x:row>
    <x:row r="83">
      <x:c r="A83" s="36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43"/>
      <x:c r="M83" s="37"/>
      <x:c r="N83" s="37"/>
      <x:c r="O83" s="37"/>
      <x:c r="P83" s="37"/>
      <x:c r="Q83" s="37"/>
      <x:c r="R83" s="37"/>
      <x:c r="S83" s="37"/>
      <x:c r="T83" s="45"/>
    </x:row>
    <x:row r="84">
      <x:c r="A84" s="36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43"/>
      <x:c r="M84" s="37"/>
      <x:c r="N84" s="37"/>
      <x:c r="O84" s="37"/>
      <x:c r="P84" s="37"/>
      <x:c r="Q84" s="37"/>
      <x:c r="R84" s="37"/>
      <x:c r="S84" s="37"/>
      <x:c r="T84" s="45"/>
    </x:row>
    <x:row r="85">
      <x:c r="A85" s="36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43"/>
      <x:c r="M85" s="37"/>
      <x:c r="N85" s="37"/>
      <x:c r="O85" s="37"/>
      <x:c r="P85" s="37"/>
      <x:c r="Q85" s="37"/>
      <x:c r="R85" s="37"/>
      <x:c r="S85" s="37"/>
      <x:c r="T85" s="45"/>
    </x:row>
    <x:row r="86">
      <x:c r="A86" s="36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43"/>
      <x:c r="M86" s="37"/>
      <x:c r="N86" s="37"/>
      <x:c r="O86" s="37"/>
      <x:c r="P86" s="37"/>
      <x:c r="Q86" s="37"/>
      <x:c r="R86" s="37"/>
      <x:c r="S86" s="37"/>
      <x:c r="T86" s="45"/>
    </x:row>
    <x:row r="87">
      <x:c r="A87" s="36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43"/>
      <x:c r="M87" s="37"/>
      <x:c r="N87" s="37"/>
      <x:c r="O87" s="37"/>
      <x:c r="P87" s="37"/>
      <x:c r="Q87" s="37"/>
      <x:c r="R87" s="37"/>
      <x:c r="S87" s="37"/>
      <x:c r="T87" s="45"/>
    </x:row>
    <x:row r="88">
      <x:c r="A88" s="36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43"/>
      <x:c r="M88" s="37"/>
      <x:c r="N88" s="37"/>
      <x:c r="O88" s="37"/>
      <x:c r="P88" s="37"/>
      <x:c r="Q88" s="37"/>
      <x:c r="R88" s="37"/>
      <x:c r="S88" s="37"/>
      <x:c r="T88" s="45"/>
    </x:row>
    <x:row r="89">
      <x:c r="A89" s="36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43"/>
      <x:c r="M89" s="37"/>
      <x:c r="N89" s="37"/>
      <x:c r="O89" s="37"/>
      <x:c r="P89" s="37"/>
      <x:c r="Q89" s="37"/>
      <x:c r="R89" s="37"/>
      <x:c r="S89" s="37"/>
      <x:c r="T89" s="45"/>
    </x:row>
    <x:row r="90">
      <x:c r="A90" s="36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43"/>
      <x:c r="M90" s="37"/>
      <x:c r="N90" s="37"/>
      <x:c r="O90" s="37"/>
      <x:c r="P90" s="37"/>
      <x:c r="Q90" s="37"/>
      <x:c r="R90" s="37"/>
      <x:c r="S90" s="37"/>
      <x:c r="T90" s="45"/>
    </x:row>
    <x:row r="91">
      <x:c r="A91" s="36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43"/>
      <x:c r="M91" s="37"/>
      <x:c r="N91" s="37"/>
      <x:c r="O91" s="37"/>
      <x:c r="P91" s="37"/>
      <x:c r="Q91" s="37"/>
      <x:c r="R91" s="37"/>
      <x:c r="S91" s="37"/>
      <x:c r="T91" s="45"/>
    </x:row>
    <x:row r="92">
      <x:c r="A92" s="36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43"/>
      <x:c r="M92" s="37"/>
      <x:c r="N92" s="37"/>
      <x:c r="O92" s="37"/>
      <x:c r="P92" s="37"/>
      <x:c r="Q92" s="37"/>
      <x:c r="R92" s="37"/>
      <x:c r="S92" s="37"/>
      <x:c r="T92" s="45"/>
    </x:row>
    <x:row r="93">
      <x:c r="A93" s="36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43"/>
      <x:c r="M93" s="37"/>
      <x:c r="N93" s="37"/>
      <x:c r="O93" s="37"/>
      <x:c r="P93" s="37"/>
      <x:c r="Q93" s="37"/>
      <x:c r="R93" s="37"/>
      <x:c r="S93" s="37"/>
      <x:c r="T93" s="45"/>
    </x:row>
    <x:row r="94">
      <x:c r="A94" s="36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43"/>
      <x:c r="M94" s="37"/>
      <x:c r="N94" s="37"/>
      <x:c r="O94" s="37"/>
      <x:c r="P94" s="37"/>
      <x:c r="Q94" s="37"/>
      <x:c r="R94" s="37"/>
      <x:c r="S94" s="37"/>
      <x:c r="T94" s="45"/>
    </x:row>
    <x:row r="95">
      <x:c r="A95" s="36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43"/>
      <x:c r="M95" s="37"/>
      <x:c r="N95" s="37"/>
      <x:c r="O95" s="37"/>
      <x:c r="P95" s="37"/>
      <x:c r="Q95" s="37"/>
      <x:c r="R95" s="37"/>
      <x:c r="S95" s="37"/>
      <x:c r="T95" s="45"/>
    </x:row>
    <x:row r="96">
      <x:c r="A96" s="36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43"/>
      <x:c r="M96" s="37"/>
      <x:c r="N96" s="37"/>
      <x:c r="O96" s="37"/>
      <x:c r="P96" s="37"/>
      <x:c r="Q96" s="37"/>
      <x:c r="R96" s="37"/>
      <x:c r="S96" s="37"/>
      <x:c r="T96" s="45"/>
    </x:row>
    <x:row r="97">
      <x:c r="A97" s="36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43"/>
      <x:c r="M97" s="37"/>
      <x:c r="N97" s="37"/>
      <x:c r="O97" s="37"/>
      <x:c r="P97" s="37"/>
      <x:c r="Q97" s="37"/>
      <x:c r="R97" s="37"/>
      <x:c r="S97" s="37"/>
      <x:c r="T97" s="45"/>
    </x:row>
    <x:row r="98">
      <x:c r="A98" s="36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43"/>
      <x:c r="M98" s="37"/>
      <x:c r="N98" s="37"/>
      <x:c r="O98" s="37"/>
      <x:c r="P98" s="37"/>
      <x:c r="Q98" s="37"/>
      <x:c r="R98" s="37"/>
      <x:c r="S98" s="37"/>
      <x:c r="T98" s="45"/>
    </x:row>
    <x:row r="99">
      <x:c r="A99" s="36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43"/>
      <x:c r="M99" s="37"/>
      <x:c r="N99" s="37"/>
      <x:c r="O99" s="37"/>
      <x:c r="P99" s="37"/>
      <x:c r="Q99" s="37"/>
      <x:c r="R99" s="37"/>
      <x:c r="S99" s="37"/>
      <x:c r="T99" s="45"/>
    </x:row>
    <x:row r="100">
      <x:c r="A100" s="36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43"/>
      <x:c r="M100" s="37"/>
      <x:c r="N100" s="37"/>
      <x:c r="O100" s="37"/>
      <x:c r="P100" s="37"/>
      <x:c r="Q100" s="37"/>
      <x:c r="R100" s="37"/>
      <x:c r="S100" s="37"/>
      <x:c r="T100" s="45"/>
    </x:row>
    <x:row r="101">
      <x:c r="A101" s="36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43"/>
      <x:c r="M101" s="37"/>
      <x:c r="N101" s="37"/>
      <x:c r="O101" s="37"/>
      <x:c r="P101" s="37"/>
      <x:c r="Q101" s="37"/>
      <x:c r="R101" s="37"/>
      <x:c r="S101" s="37"/>
      <x:c r="T101" s="45"/>
    </x:row>
    <x:row r="102">
      <x:c r="A102" s="36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43"/>
      <x:c r="M102" s="37"/>
      <x:c r="N102" s="37"/>
      <x:c r="O102" s="37"/>
      <x:c r="P102" s="37"/>
      <x:c r="Q102" s="37"/>
      <x:c r="R102" s="37"/>
      <x:c r="S102" s="37"/>
      <x:c r="T102" s="45"/>
    </x:row>
    <x:row r="103">
      <x:c r="A103" s="36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43"/>
      <x:c r="M103" s="37"/>
      <x:c r="N103" s="37"/>
      <x:c r="O103" s="37"/>
      <x:c r="P103" s="37"/>
      <x:c r="Q103" s="37"/>
      <x:c r="R103" s="37"/>
      <x:c r="S103" s="37"/>
      <x:c r="T103" s="45"/>
    </x:row>
    <x:row r="104">
      <x:c r="A104" s="36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43"/>
      <x:c r="M104" s="37"/>
      <x:c r="N104" s="37"/>
      <x:c r="O104" s="37"/>
      <x:c r="P104" s="37"/>
      <x:c r="Q104" s="37"/>
      <x:c r="R104" s="37"/>
      <x:c r="S104" s="37"/>
      <x:c r="T104" s="45"/>
    </x:row>
    <x:row r="105">
      <x:c r="A105" s="36"/>
      <x:c r="B105" s="37"/>
      <x:c r="C105" s="37"/>
      <x:c r="D105" s="37"/>
      <x:c r="E105" s="37"/>
      <x:c r="F105" s="37"/>
      <x:c r="G105" s="37"/>
      <x:c r="H105" s="37"/>
      <x:c r="I105" s="37"/>
      <x:c r="J105" s="37"/>
      <x:c r="K105" s="37"/>
      <x:c r="L105" s="43"/>
      <x:c r="M105" s="37"/>
      <x:c r="N105" s="37"/>
      <x:c r="O105" s="37"/>
      <x:c r="P105" s="37"/>
      <x:c r="Q105" s="37"/>
      <x:c r="R105" s="37"/>
      <x:c r="S105" s="37"/>
      <x:c r="T105" s="45"/>
    </x:row>
    <x:row r="106">
      <x:c r="A106" s="36"/>
      <x:c r="B106" s="37"/>
      <x:c r="C106" s="37"/>
      <x:c r="D106" s="37"/>
      <x:c r="E106" s="37"/>
      <x:c r="F106" s="37"/>
      <x:c r="G106" s="37"/>
      <x:c r="H106" s="37"/>
      <x:c r="I106" s="37"/>
      <x:c r="J106" s="37"/>
      <x:c r="K106" s="37"/>
      <x:c r="L106" s="43"/>
      <x:c r="M106" s="37"/>
      <x:c r="N106" s="37"/>
      <x:c r="O106" s="37"/>
      <x:c r="P106" s="37"/>
      <x:c r="Q106" s="37"/>
      <x:c r="R106" s="37"/>
      <x:c r="S106" s="37"/>
      <x:c r="T106" s="45"/>
    </x:row>
    <x:row r="107">
      <x:c r="A107" s="36"/>
      <x:c r="B107" s="37"/>
      <x:c r="C107" s="37"/>
      <x:c r="D107" s="37"/>
      <x:c r="E107" s="37"/>
      <x:c r="F107" s="37"/>
      <x:c r="G107" s="37"/>
      <x:c r="H107" s="37"/>
      <x:c r="I107" s="37"/>
      <x:c r="J107" s="37"/>
      <x:c r="K107" s="37"/>
      <x:c r="L107" s="43"/>
      <x:c r="M107" s="37"/>
      <x:c r="N107" s="37"/>
      <x:c r="O107" s="37"/>
      <x:c r="P107" s="37"/>
      <x:c r="Q107" s="37"/>
      <x:c r="R107" s="37"/>
      <x:c r="S107" s="37"/>
      <x:c r="T107" s="45"/>
    </x:row>
    <x:row r="108">
      <x:c r="A108" s="36"/>
      <x:c r="B108" s="37"/>
      <x:c r="C108" s="37"/>
      <x:c r="D108" s="37"/>
      <x:c r="E108" s="37"/>
      <x:c r="F108" s="37"/>
      <x:c r="G108" s="37"/>
      <x:c r="H108" s="37"/>
      <x:c r="I108" s="37"/>
      <x:c r="J108" s="37"/>
      <x:c r="K108" s="37"/>
      <x:c r="L108" s="43"/>
      <x:c r="M108" s="37"/>
      <x:c r="N108" s="37"/>
      <x:c r="O108" s="37"/>
      <x:c r="P108" s="37"/>
      <x:c r="Q108" s="37"/>
      <x:c r="R108" s="37"/>
      <x:c r="S108" s="37"/>
      <x:c r="T108" s="45"/>
    </x:row>
    <x:row r="109">
      <x:c r="A109" s="36"/>
      <x:c r="B109" s="37"/>
      <x:c r="C109" s="37"/>
      <x:c r="D109" s="37"/>
      <x:c r="E109" s="37"/>
      <x:c r="F109" s="37"/>
      <x:c r="G109" s="37"/>
      <x:c r="H109" s="37"/>
      <x:c r="I109" s="37"/>
      <x:c r="J109" s="37"/>
      <x:c r="K109" s="37"/>
      <x:c r="L109" s="43"/>
      <x:c r="M109" s="37"/>
      <x:c r="N109" s="37"/>
      <x:c r="O109" s="37"/>
      <x:c r="P109" s="37"/>
      <x:c r="Q109" s="37"/>
      <x:c r="R109" s="37"/>
      <x:c r="S109" s="37"/>
      <x:c r="T109" s="45"/>
    </x:row>
    <x:row r="110">
      <x:c r="A110" s="36"/>
      <x:c r="B110" s="37"/>
      <x:c r="C110" s="37"/>
      <x:c r="D110" s="37"/>
      <x:c r="E110" s="37"/>
      <x:c r="F110" s="37"/>
      <x:c r="G110" s="37"/>
      <x:c r="H110" s="37"/>
      <x:c r="I110" s="37"/>
      <x:c r="J110" s="37"/>
      <x:c r="K110" s="37"/>
      <x:c r="L110" s="43"/>
      <x:c r="M110" s="37"/>
      <x:c r="N110" s="37"/>
      <x:c r="O110" s="37"/>
      <x:c r="P110" s="37"/>
      <x:c r="Q110" s="37"/>
      <x:c r="R110" s="37"/>
      <x:c r="S110" s="37"/>
      <x:c r="T110" s="45"/>
    </x:row>
    <x:row r="111">
      <x:c r="A111" s="36"/>
      <x:c r="B111" s="37"/>
      <x:c r="C111" s="37"/>
      <x:c r="D111" s="37"/>
      <x:c r="E111" s="37"/>
      <x:c r="F111" s="37"/>
      <x:c r="G111" s="37"/>
      <x:c r="H111" s="37"/>
      <x:c r="I111" s="37"/>
      <x:c r="J111" s="37"/>
      <x:c r="K111" s="37"/>
      <x:c r="L111" s="43"/>
      <x:c r="M111" s="37"/>
      <x:c r="N111" s="37"/>
      <x:c r="O111" s="37"/>
      <x:c r="P111" s="37"/>
      <x:c r="Q111" s="37"/>
      <x:c r="R111" s="37"/>
      <x:c r="S111" s="37"/>
      <x:c r="T111" s="45"/>
    </x:row>
    <x:row r="112">
      <x:c r="A112" s="36"/>
      <x:c r="B112" s="37"/>
      <x:c r="C112" s="37"/>
      <x:c r="D112" s="37"/>
      <x:c r="E112" s="37"/>
      <x:c r="F112" s="37"/>
      <x:c r="G112" s="37"/>
      <x:c r="H112" s="37"/>
      <x:c r="I112" s="37"/>
      <x:c r="J112" s="37"/>
      <x:c r="K112" s="37"/>
      <x:c r="L112" s="43"/>
      <x:c r="M112" s="37"/>
      <x:c r="N112" s="37"/>
      <x:c r="O112" s="37"/>
      <x:c r="P112" s="37"/>
      <x:c r="Q112" s="37"/>
      <x:c r="R112" s="37"/>
      <x:c r="S112" s="37"/>
      <x:c r="T112" s="45"/>
    </x:row>
    <x:row r="113">
      <x:c r="A113" s="36"/>
      <x:c r="B113" s="37"/>
      <x:c r="C113" s="37"/>
      <x:c r="D113" s="37"/>
      <x:c r="E113" s="37"/>
      <x:c r="F113" s="37"/>
      <x:c r="G113" s="37"/>
      <x:c r="H113" s="37"/>
      <x:c r="I113" s="37"/>
      <x:c r="J113" s="37"/>
      <x:c r="K113" s="37"/>
      <x:c r="L113" s="43"/>
      <x:c r="M113" s="37"/>
      <x:c r="N113" s="37"/>
      <x:c r="O113" s="37"/>
      <x:c r="P113" s="37"/>
      <x:c r="Q113" s="37"/>
      <x:c r="R113" s="37"/>
      <x:c r="S113" s="37"/>
      <x:c r="T113" s="45"/>
    </x:row>
    <x:row r="114">
      <x:c r="A114" s="36"/>
      <x:c r="B114" s="37"/>
      <x:c r="C114" s="37"/>
      <x:c r="D114" s="37"/>
      <x:c r="E114" s="37"/>
      <x:c r="F114" s="37"/>
      <x:c r="G114" s="37"/>
      <x:c r="H114" s="37"/>
      <x:c r="I114" s="37"/>
      <x:c r="J114" s="37"/>
      <x:c r="K114" s="37"/>
      <x:c r="L114" s="43"/>
      <x:c r="M114" s="37"/>
      <x:c r="N114" s="37"/>
      <x:c r="O114" s="37"/>
      <x:c r="P114" s="37"/>
      <x:c r="Q114" s="37"/>
      <x:c r="R114" s="37"/>
      <x:c r="S114" s="37"/>
      <x:c r="T114" s="45"/>
    </x:row>
    <x:row r="115">
      <x:c r="A115" s="36"/>
      <x:c r="B115" s="37"/>
      <x:c r="C115" s="37"/>
      <x:c r="D115" s="37"/>
      <x:c r="E115" s="37"/>
      <x:c r="F115" s="37"/>
      <x:c r="G115" s="37"/>
      <x:c r="H115" s="37"/>
      <x:c r="I115" s="37"/>
      <x:c r="J115" s="37"/>
      <x:c r="K115" s="37"/>
      <x:c r="L115" s="43"/>
      <x:c r="M115" s="37"/>
      <x:c r="N115" s="37"/>
      <x:c r="O115" s="37"/>
      <x:c r="P115" s="37"/>
      <x:c r="Q115" s="37"/>
      <x:c r="R115" s="37"/>
      <x:c r="S115" s="37"/>
      <x:c r="T115" s="45"/>
    </x:row>
    <x:row r="116">
      <x:c r="A116" s="36"/>
      <x:c r="B116" s="37"/>
      <x:c r="C116" s="37"/>
      <x:c r="D116" s="37"/>
      <x:c r="E116" s="37"/>
      <x:c r="F116" s="37"/>
      <x:c r="G116" s="37"/>
      <x:c r="H116" s="37"/>
      <x:c r="I116" s="37"/>
      <x:c r="J116" s="37"/>
      <x:c r="K116" s="37"/>
      <x:c r="L116" s="43"/>
      <x:c r="M116" s="37"/>
      <x:c r="N116" s="37"/>
      <x:c r="O116" s="37"/>
      <x:c r="P116" s="37"/>
      <x:c r="Q116" s="37"/>
      <x:c r="R116" s="37"/>
      <x:c r="S116" s="37"/>
      <x:c r="T116" s="45"/>
    </x:row>
    <x:row r="117">
      <x:c r="A117" s="36"/>
      <x:c r="B117" s="37"/>
      <x:c r="C117" s="37"/>
      <x:c r="D117" s="37"/>
      <x:c r="E117" s="37"/>
      <x:c r="F117" s="37"/>
      <x:c r="G117" s="37"/>
      <x:c r="H117" s="37"/>
      <x:c r="I117" s="37"/>
      <x:c r="J117" s="37"/>
      <x:c r="K117" s="37"/>
      <x:c r="L117" s="43"/>
      <x:c r="M117" s="37"/>
      <x:c r="N117" s="37"/>
      <x:c r="O117" s="37"/>
      <x:c r="P117" s="37"/>
      <x:c r="Q117" s="37"/>
      <x:c r="R117" s="37"/>
      <x:c r="S117" s="37"/>
      <x:c r="T117" s="45"/>
    </x:row>
    <x:row r="118">
      <x:c r="A118" s="36"/>
      <x:c r="B118" s="37"/>
      <x:c r="C118" s="37"/>
      <x:c r="D118" s="37"/>
      <x:c r="E118" s="37"/>
      <x:c r="F118" s="37"/>
      <x:c r="G118" s="37"/>
      <x:c r="H118" s="37"/>
      <x:c r="I118" s="37"/>
      <x:c r="J118" s="37"/>
      <x:c r="K118" s="37"/>
      <x:c r="L118" s="43"/>
      <x:c r="M118" s="37"/>
      <x:c r="N118" s="37"/>
      <x:c r="O118" s="37"/>
      <x:c r="P118" s="37"/>
      <x:c r="Q118" s="37"/>
      <x:c r="R118" s="37"/>
      <x:c r="S118" s="37"/>
      <x:c r="T118" s="45"/>
    </x:row>
    <x:row r="119">
      <x:c r="A119" s="36"/>
      <x:c r="B119" s="37"/>
      <x:c r="C119" s="37"/>
      <x:c r="D119" s="37"/>
      <x:c r="E119" s="37"/>
      <x:c r="F119" s="37"/>
      <x:c r="G119" s="37"/>
      <x:c r="H119" s="37"/>
      <x:c r="I119" s="37"/>
      <x:c r="J119" s="37"/>
      <x:c r="K119" s="37"/>
      <x:c r="L119" s="43"/>
      <x:c r="M119" s="37"/>
      <x:c r="N119" s="37"/>
      <x:c r="O119" s="37"/>
      <x:c r="P119" s="37"/>
      <x:c r="Q119" s="37"/>
      <x:c r="R119" s="37"/>
      <x:c r="S119" s="37"/>
      <x:c r="T119" s="45"/>
    </x:row>
    <x:row r="120">
      <x:c r="A120" s="36"/>
      <x:c r="B120" s="37"/>
      <x:c r="C120" s="37"/>
      <x:c r="D120" s="37"/>
      <x:c r="E120" s="37"/>
      <x:c r="F120" s="37"/>
      <x:c r="G120" s="37"/>
      <x:c r="H120" s="37"/>
      <x:c r="I120" s="37"/>
      <x:c r="J120" s="37"/>
      <x:c r="K120" s="37"/>
      <x:c r="L120" s="43"/>
      <x:c r="M120" s="37"/>
      <x:c r="N120" s="37"/>
      <x:c r="O120" s="37"/>
      <x:c r="P120" s="37"/>
      <x:c r="Q120" s="37"/>
      <x:c r="R120" s="37"/>
      <x:c r="S120" s="37"/>
      <x:c r="T120" s="45"/>
    </x:row>
    <x:row r="121">
      <x:c r="A121" s="36"/>
      <x:c r="B121" s="37"/>
      <x:c r="C121" s="37"/>
      <x:c r="D121" s="37"/>
      <x:c r="E121" s="37"/>
      <x:c r="F121" s="37"/>
      <x:c r="G121" s="37"/>
      <x:c r="H121" s="37"/>
      <x:c r="I121" s="37"/>
      <x:c r="J121" s="37"/>
      <x:c r="K121" s="37"/>
      <x:c r="L121" s="43"/>
      <x:c r="M121" s="37"/>
      <x:c r="N121" s="37"/>
      <x:c r="O121" s="37"/>
      <x:c r="P121" s="37"/>
      <x:c r="Q121" s="37"/>
      <x:c r="R121" s="37"/>
      <x:c r="S121" s="37"/>
      <x:c r="T121" s="45"/>
    </x:row>
    <x:row r="122">
      <x:c r="A122" s="36"/>
      <x:c r="B122" s="37"/>
      <x:c r="C122" s="37"/>
      <x:c r="D122" s="37"/>
      <x:c r="E122" s="37"/>
      <x:c r="F122" s="37"/>
      <x:c r="G122" s="37"/>
      <x:c r="H122" s="37"/>
      <x:c r="I122" s="37"/>
      <x:c r="J122" s="37"/>
      <x:c r="K122" s="37"/>
      <x:c r="L122" s="43"/>
      <x:c r="M122" s="37"/>
      <x:c r="N122" s="37"/>
      <x:c r="O122" s="37"/>
      <x:c r="P122" s="37"/>
      <x:c r="Q122" s="37"/>
      <x:c r="R122" s="37"/>
      <x:c r="S122" s="37"/>
      <x:c r="T122" s="45"/>
    </x:row>
    <x:row r="123">
      <x:c r="A123" s="36"/>
      <x:c r="B123" s="37"/>
      <x:c r="C123" s="37"/>
      <x:c r="D123" s="37"/>
      <x:c r="E123" s="37"/>
      <x:c r="F123" s="37"/>
      <x:c r="G123" s="37"/>
      <x:c r="H123" s="37"/>
      <x:c r="I123" s="37"/>
      <x:c r="J123" s="37"/>
      <x:c r="K123" s="37"/>
      <x:c r="L123" s="43"/>
      <x:c r="M123" s="37"/>
      <x:c r="N123" s="37"/>
      <x:c r="O123" s="37"/>
      <x:c r="P123" s="37"/>
      <x:c r="Q123" s="37"/>
      <x:c r="R123" s="37"/>
      <x:c r="S123" s="37"/>
      <x:c r="T123" s="45"/>
    </x:row>
    <x:row r="124">
      <x:c r="A124" s="36"/>
      <x:c r="B124" s="37"/>
      <x:c r="C124" s="37"/>
      <x:c r="D124" s="37"/>
      <x:c r="E124" s="37"/>
      <x:c r="F124" s="37"/>
      <x:c r="G124" s="37"/>
      <x:c r="H124" s="37"/>
      <x:c r="I124" s="37"/>
      <x:c r="J124" s="37"/>
      <x:c r="K124" s="37"/>
      <x:c r="L124" s="43"/>
      <x:c r="M124" s="37"/>
      <x:c r="N124" s="37"/>
      <x:c r="O124" s="37"/>
      <x:c r="P124" s="37"/>
      <x:c r="Q124" s="37"/>
      <x:c r="R124" s="37"/>
      <x:c r="S124" s="37"/>
      <x:c r="T124" s="45"/>
    </x:row>
    <x:row r="125">
      <x:c r="A125" s="36"/>
      <x:c r="B125" s="37"/>
      <x:c r="C125" s="37"/>
      <x:c r="D125" s="37"/>
      <x:c r="E125" s="37"/>
      <x:c r="F125" s="37"/>
      <x:c r="G125" s="37"/>
      <x:c r="H125" s="37"/>
      <x:c r="I125" s="37"/>
      <x:c r="J125" s="37"/>
      <x:c r="K125" s="37"/>
      <x:c r="L125" s="43"/>
      <x:c r="M125" s="37"/>
      <x:c r="N125" s="37"/>
      <x:c r="O125" s="37"/>
      <x:c r="P125" s="37"/>
      <x:c r="Q125" s="37"/>
      <x:c r="R125" s="37"/>
      <x:c r="S125" s="37"/>
      <x:c r="T125" s="45"/>
    </x:row>
    <x:row r="126">
      <x:c r="A126" s="36"/>
      <x:c r="B126" s="37"/>
      <x:c r="C126" s="37"/>
      <x:c r="D126" s="37"/>
      <x:c r="E126" s="37"/>
      <x:c r="F126" s="37"/>
      <x:c r="G126" s="37"/>
      <x:c r="H126" s="37"/>
      <x:c r="I126" s="37"/>
      <x:c r="J126" s="37"/>
      <x:c r="K126" s="37"/>
      <x:c r="L126" s="43"/>
      <x:c r="M126" s="37"/>
      <x:c r="N126" s="37"/>
      <x:c r="O126" s="37"/>
      <x:c r="P126" s="37"/>
      <x:c r="Q126" s="37"/>
      <x:c r="R126" s="37"/>
      <x:c r="S126" s="37"/>
      <x:c r="T126" s="45"/>
    </x:row>
    <x:row r="127">
      <x:c r="A127" s="36"/>
      <x:c r="B127" s="37"/>
      <x:c r="C127" s="37"/>
      <x:c r="D127" s="37"/>
      <x:c r="E127" s="37"/>
      <x:c r="F127" s="37"/>
      <x:c r="G127" s="37"/>
      <x:c r="H127" s="37"/>
      <x:c r="I127" s="37"/>
      <x:c r="J127" s="37"/>
      <x:c r="K127" s="37"/>
      <x:c r="L127" s="43"/>
      <x:c r="M127" s="37"/>
      <x:c r="N127" s="37"/>
      <x:c r="O127" s="37"/>
      <x:c r="P127" s="37"/>
      <x:c r="Q127" s="37"/>
      <x:c r="R127" s="37"/>
      <x:c r="S127" s="37"/>
      <x:c r="T127" s="45"/>
    </x:row>
    <x:row r="128">
      <x:c r="A128" s="36"/>
      <x:c r="B128" s="37"/>
      <x:c r="C128" s="37"/>
      <x:c r="D128" s="37"/>
      <x:c r="E128" s="37"/>
      <x:c r="F128" s="37"/>
      <x:c r="G128" s="37"/>
      <x:c r="H128" s="37"/>
      <x:c r="I128" s="37"/>
      <x:c r="J128" s="37"/>
      <x:c r="K128" s="37"/>
      <x:c r="L128" s="43"/>
      <x:c r="M128" s="37"/>
      <x:c r="N128" s="37"/>
      <x:c r="O128" s="37"/>
      <x:c r="P128" s="37"/>
      <x:c r="Q128" s="37"/>
      <x:c r="R128" s="37"/>
      <x:c r="S128" s="37"/>
      <x:c r="T128" s="45"/>
    </x:row>
    <x:row r="129">
      <x:c r="A129" s="36"/>
      <x:c r="B129" s="37"/>
      <x:c r="C129" s="37"/>
      <x:c r="D129" s="37"/>
      <x:c r="E129" s="37"/>
      <x:c r="F129" s="37"/>
      <x:c r="G129" s="37"/>
      <x:c r="H129" s="37"/>
      <x:c r="I129" s="37"/>
      <x:c r="J129" s="37"/>
      <x:c r="K129" s="37"/>
      <x:c r="L129" s="43"/>
      <x:c r="M129" s="37"/>
      <x:c r="N129" s="37"/>
      <x:c r="O129" s="37"/>
      <x:c r="P129" s="37"/>
      <x:c r="Q129" s="37"/>
      <x:c r="R129" s="37"/>
      <x:c r="S129" s="37"/>
      <x:c r="T129" s="45"/>
    </x:row>
    <x:row r="130">
      <x:c r="A130" s="36"/>
      <x:c r="B130" s="37"/>
      <x:c r="C130" s="37"/>
      <x:c r="D130" s="37"/>
      <x:c r="E130" s="37"/>
      <x:c r="F130" s="37"/>
      <x:c r="G130" s="37"/>
      <x:c r="H130" s="37"/>
      <x:c r="I130" s="37"/>
      <x:c r="J130" s="37"/>
      <x:c r="K130" s="37"/>
      <x:c r="L130" s="43"/>
      <x:c r="M130" s="37"/>
      <x:c r="N130" s="37"/>
      <x:c r="O130" s="37"/>
      <x:c r="P130" s="37"/>
      <x:c r="Q130" s="37"/>
      <x:c r="R130" s="37"/>
      <x:c r="S130" s="37"/>
      <x:c r="T130" s="45"/>
    </x:row>
    <x:row r="131">
      <x:c r="A131" s="36"/>
      <x:c r="B131" s="37"/>
      <x:c r="C131" s="37"/>
      <x:c r="D131" s="37"/>
      <x:c r="E131" s="37"/>
      <x:c r="F131" s="37"/>
      <x:c r="G131" s="37"/>
      <x:c r="H131" s="37"/>
      <x:c r="I131" s="37"/>
      <x:c r="J131" s="37"/>
      <x:c r="K131" s="37"/>
      <x:c r="L131" s="43"/>
      <x:c r="M131" s="37"/>
      <x:c r="N131" s="37"/>
      <x:c r="O131" s="37"/>
      <x:c r="P131" s="37"/>
      <x:c r="Q131" s="37"/>
      <x:c r="R131" s="37"/>
      <x:c r="S131" s="37"/>
      <x:c r="T131" s="45"/>
    </x:row>
    <x:row r="132">
      <x:c r="A132" s="36"/>
      <x:c r="B132" s="37"/>
      <x:c r="C132" s="37"/>
      <x:c r="D132" s="37"/>
      <x:c r="E132" s="37"/>
      <x:c r="F132" s="37"/>
      <x:c r="G132" s="37"/>
      <x:c r="H132" s="37"/>
      <x:c r="I132" s="37"/>
      <x:c r="J132" s="37"/>
      <x:c r="K132" s="37"/>
      <x:c r="L132" s="43"/>
      <x:c r="M132" s="37"/>
      <x:c r="N132" s="37"/>
      <x:c r="O132" s="37"/>
      <x:c r="P132" s="37"/>
      <x:c r="Q132" s="37"/>
      <x:c r="R132" s="37"/>
      <x:c r="S132" s="37"/>
      <x:c r="T132" s="45"/>
    </x:row>
    <x:row r="133">
      <x:c r="A133" s="36"/>
      <x:c r="B133" s="37"/>
      <x:c r="C133" s="37"/>
      <x:c r="D133" s="37"/>
      <x:c r="E133" s="37"/>
      <x:c r="F133" s="37"/>
      <x:c r="G133" s="37"/>
      <x:c r="H133" s="37"/>
      <x:c r="I133" s="37"/>
      <x:c r="J133" s="37"/>
      <x:c r="K133" s="37"/>
      <x:c r="L133" s="43"/>
      <x:c r="M133" s="37"/>
      <x:c r="N133" s="37"/>
      <x:c r="O133" s="37"/>
      <x:c r="P133" s="37"/>
      <x:c r="Q133" s="37"/>
      <x:c r="R133" s="37"/>
      <x:c r="S133" s="37"/>
      <x:c r="T133" s="45"/>
    </x:row>
    <x:row r="134">
      <x:c r="A134" s="36"/>
      <x:c r="B134" s="37"/>
      <x:c r="C134" s="37"/>
      <x:c r="D134" s="37"/>
      <x:c r="E134" s="37"/>
      <x:c r="F134" s="37"/>
      <x:c r="G134" s="37"/>
      <x:c r="H134" s="37"/>
      <x:c r="I134" s="37"/>
      <x:c r="J134" s="37"/>
      <x:c r="K134" s="37"/>
      <x:c r="L134" s="43"/>
      <x:c r="M134" s="37"/>
      <x:c r="N134" s="37"/>
      <x:c r="O134" s="37"/>
      <x:c r="P134" s="37"/>
      <x:c r="Q134" s="37"/>
      <x:c r="R134" s="37"/>
      <x:c r="S134" s="37"/>
      <x:c r="T134" s="45"/>
    </x:row>
    <x:row r="135">
      <x:c r="A135" s="36"/>
      <x:c r="B135" s="37"/>
      <x:c r="C135" s="37"/>
      <x:c r="D135" s="37"/>
      <x:c r="E135" s="37"/>
      <x:c r="F135" s="37"/>
      <x:c r="G135" s="37"/>
      <x:c r="H135" s="37"/>
      <x:c r="I135" s="37"/>
      <x:c r="J135" s="37"/>
      <x:c r="K135" s="37"/>
      <x:c r="L135" s="43"/>
      <x:c r="M135" s="37"/>
      <x:c r="N135" s="37"/>
      <x:c r="O135" s="37"/>
      <x:c r="P135" s="37"/>
      <x:c r="Q135" s="37"/>
      <x:c r="R135" s="37"/>
      <x:c r="S135" s="37"/>
      <x:c r="T135" s="45"/>
    </x:row>
    <x:row r="136">
      <x:c r="A136" s="36"/>
      <x:c r="B136" s="37"/>
      <x:c r="C136" s="37"/>
      <x:c r="D136" s="37"/>
      <x:c r="E136" s="37"/>
      <x:c r="F136" s="37"/>
      <x:c r="G136" s="37"/>
      <x:c r="H136" s="37"/>
      <x:c r="I136" s="37"/>
      <x:c r="J136" s="37"/>
      <x:c r="K136" s="37"/>
      <x:c r="L136" s="43"/>
      <x:c r="M136" s="37"/>
      <x:c r="N136" s="37"/>
      <x:c r="O136" s="37"/>
      <x:c r="P136" s="37"/>
      <x:c r="Q136" s="37"/>
      <x:c r="R136" s="37"/>
      <x:c r="S136" s="37"/>
      <x:c r="T136" s="45"/>
    </x:row>
    <x:row r="137">
      <x:c r="A137" s="36"/>
      <x:c r="B137" s="37"/>
      <x:c r="C137" s="37"/>
      <x:c r="D137" s="37"/>
      <x:c r="E137" s="37"/>
      <x:c r="F137" s="37"/>
      <x:c r="G137" s="37"/>
      <x:c r="H137" s="37"/>
      <x:c r="I137" s="37"/>
      <x:c r="J137" s="37"/>
      <x:c r="K137" s="37"/>
      <x:c r="L137" s="43"/>
      <x:c r="M137" s="37"/>
      <x:c r="N137" s="37"/>
      <x:c r="O137" s="37"/>
      <x:c r="P137" s="37"/>
      <x:c r="Q137" s="37"/>
      <x:c r="R137" s="37"/>
      <x:c r="S137" s="37"/>
      <x:c r="T137" s="45"/>
    </x:row>
    <x:row r="138">
      <x:c r="A138" s="36"/>
      <x:c r="B138" s="37"/>
      <x:c r="C138" s="37"/>
      <x:c r="D138" s="37"/>
      <x:c r="E138" s="37"/>
      <x:c r="F138" s="37"/>
      <x:c r="G138" s="37"/>
      <x:c r="H138" s="37"/>
      <x:c r="I138" s="37"/>
      <x:c r="J138" s="37"/>
      <x:c r="K138" s="37"/>
      <x:c r="L138" s="43"/>
      <x:c r="M138" s="37"/>
      <x:c r="N138" s="37"/>
      <x:c r="O138" s="37"/>
      <x:c r="P138" s="37"/>
      <x:c r="Q138" s="37"/>
      <x:c r="R138" s="37"/>
      <x:c r="S138" s="37"/>
      <x:c r="T138" s="45"/>
    </x:row>
    <x:row r="139">
      <x:c r="A139" s="36"/>
      <x:c r="B139" s="37"/>
      <x:c r="C139" s="37"/>
      <x:c r="D139" s="37"/>
      <x:c r="E139" s="37"/>
      <x:c r="F139" s="37"/>
      <x:c r="G139" s="37"/>
      <x:c r="H139" s="37"/>
      <x:c r="I139" s="37"/>
      <x:c r="J139" s="37"/>
      <x:c r="K139" s="37"/>
      <x:c r="L139" s="43"/>
      <x:c r="M139" s="37"/>
      <x:c r="N139" s="37"/>
      <x:c r="O139" s="37"/>
      <x:c r="P139" s="37"/>
      <x:c r="Q139" s="37"/>
      <x:c r="R139" s="37"/>
      <x:c r="S139" s="37"/>
      <x:c r="T139" s="45"/>
    </x:row>
    <x:row r="140">
      <x:c r="A140" s="36"/>
      <x:c r="B140" s="37"/>
      <x:c r="C140" s="37"/>
      <x:c r="D140" s="37"/>
      <x:c r="E140" s="37"/>
      <x:c r="F140" s="37"/>
      <x:c r="G140" s="37"/>
      <x:c r="H140" s="37"/>
      <x:c r="I140" s="37"/>
      <x:c r="J140" s="37"/>
      <x:c r="K140" s="37"/>
      <x:c r="L140" s="43"/>
      <x:c r="M140" s="37"/>
      <x:c r="N140" s="37"/>
      <x:c r="O140" s="37"/>
      <x:c r="P140" s="37"/>
      <x:c r="Q140" s="37"/>
      <x:c r="R140" s="37"/>
      <x:c r="S140" s="37"/>
      <x:c r="T140" s="45"/>
    </x:row>
    <x:row r="141">
      <x:c r="A141" s="36"/>
      <x:c r="B141" s="37"/>
      <x:c r="C141" s="37"/>
      <x:c r="D141" s="37"/>
      <x:c r="E141" s="37"/>
      <x:c r="F141" s="37"/>
      <x:c r="G141" s="37"/>
      <x:c r="H141" s="37"/>
      <x:c r="I141" s="37"/>
      <x:c r="J141" s="37"/>
      <x:c r="K141" s="37"/>
      <x:c r="L141" s="43"/>
      <x:c r="M141" s="37"/>
      <x:c r="N141" s="37"/>
      <x:c r="O141" s="37"/>
      <x:c r="P141" s="37"/>
      <x:c r="Q141" s="37"/>
      <x:c r="R141" s="37"/>
      <x:c r="S141" s="37"/>
      <x:c r="T141" s="45"/>
    </x:row>
    <x:row r="142">
      <x:c r="A142" s="36"/>
      <x:c r="B142" s="37"/>
      <x:c r="C142" s="37"/>
      <x:c r="D142" s="37"/>
      <x:c r="E142" s="37"/>
      <x:c r="F142" s="37"/>
      <x:c r="G142" s="37"/>
      <x:c r="H142" s="37"/>
      <x:c r="I142" s="37"/>
      <x:c r="J142" s="37"/>
      <x:c r="K142" s="37"/>
      <x:c r="L142" s="43"/>
      <x:c r="M142" s="37"/>
      <x:c r="N142" s="37"/>
      <x:c r="O142" s="37"/>
      <x:c r="P142" s="37"/>
      <x:c r="Q142" s="37"/>
      <x:c r="R142" s="37"/>
      <x:c r="S142" s="37"/>
      <x:c r="T142" s="45"/>
    </x:row>
    <x:row r="143">
      <x:c r="A143" s="36"/>
      <x:c r="B143" s="37"/>
      <x:c r="C143" s="37"/>
      <x:c r="D143" s="37"/>
      <x:c r="E143" s="37"/>
      <x:c r="F143" s="37"/>
      <x:c r="G143" s="37"/>
      <x:c r="H143" s="37"/>
      <x:c r="I143" s="37"/>
      <x:c r="J143" s="37"/>
      <x:c r="K143" s="37"/>
      <x:c r="L143" s="43"/>
      <x:c r="M143" s="37"/>
      <x:c r="N143" s="37"/>
      <x:c r="O143" s="37"/>
      <x:c r="P143" s="37"/>
      <x:c r="Q143" s="37"/>
      <x:c r="R143" s="37"/>
      <x:c r="S143" s="37"/>
      <x:c r="T143" s="45"/>
    </x:row>
    <x:row r="144">
      <x:c r="A144" s="36"/>
      <x:c r="B144" s="37"/>
      <x:c r="C144" s="37"/>
      <x:c r="D144" s="37"/>
      <x:c r="E144" s="37"/>
      <x:c r="F144" s="37"/>
      <x:c r="G144" s="37"/>
      <x:c r="H144" s="37"/>
      <x:c r="I144" s="37"/>
      <x:c r="J144" s="37"/>
      <x:c r="K144" s="37"/>
      <x:c r="L144" s="43"/>
      <x:c r="M144" s="37"/>
      <x:c r="N144" s="37"/>
      <x:c r="O144" s="37"/>
      <x:c r="P144" s="37"/>
      <x:c r="Q144" s="37"/>
      <x:c r="R144" s="37"/>
      <x:c r="S144" s="37"/>
      <x:c r="T144" s="45"/>
    </x:row>
    <x:row r="145">
      <x:c r="A145" s="36"/>
      <x:c r="B145" s="37"/>
      <x:c r="C145" s="37"/>
      <x:c r="D145" s="37"/>
      <x:c r="E145" s="37"/>
      <x:c r="F145" s="37"/>
      <x:c r="G145" s="37"/>
      <x:c r="H145" s="37"/>
      <x:c r="I145" s="37"/>
      <x:c r="J145" s="37"/>
      <x:c r="K145" s="37"/>
      <x:c r="L145" s="43"/>
      <x:c r="M145" s="37"/>
      <x:c r="N145" s="37"/>
      <x:c r="O145" s="37"/>
      <x:c r="P145" s="37"/>
      <x:c r="Q145" s="37"/>
      <x:c r="R145" s="37"/>
      <x:c r="S145" s="37"/>
      <x:c r="T145" s="45"/>
    </x:row>
    <x:row r="146">
      <x:c r="A146" s="36"/>
      <x:c r="B146" s="37"/>
      <x:c r="C146" s="37"/>
      <x:c r="D146" s="37"/>
      <x:c r="E146" s="37"/>
      <x:c r="F146" s="37"/>
      <x:c r="G146" s="37"/>
      <x:c r="H146" s="37"/>
      <x:c r="I146" s="37"/>
      <x:c r="J146" s="37"/>
      <x:c r="K146" s="37"/>
      <x:c r="L146" s="43"/>
      <x:c r="M146" s="37"/>
      <x:c r="N146" s="37"/>
      <x:c r="O146" s="37"/>
      <x:c r="P146" s="37"/>
      <x:c r="Q146" s="37"/>
      <x:c r="R146" s="37"/>
      <x:c r="S146" s="37"/>
      <x:c r="T146" s="45"/>
    </x:row>
    <x:row r="147">
      <x:c r="A147" s="36"/>
      <x:c r="B147" s="37"/>
      <x:c r="C147" s="37"/>
      <x:c r="D147" s="37"/>
      <x:c r="E147" s="37"/>
      <x:c r="F147" s="37"/>
      <x:c r="G147" s="37"/>
      <x:c r="H147" s="37"/>
      <x:c r="I147" s="37"/>
      <x:c r="J147" s="37"/>
      <x:c r="K147" s="37"/>
      <x:c r="L147" s="43"/>
      <x:c r="M147" s="37"/>
      <x:c r="N147" s="37"/>
      <x:c r="O147" s="37"/>
      <x:c r="P147" s="37"/>
      <x:c r="Q147" s="37"/>
      <x:c r="R147" s="37"/>
      <x:c r="S147" s="37"/>
      <x:c r="T147" s="45"/>
    </x:row>
    <x:row r="148">
      <x:c r="A148" s="36"/>
      <x:c r="B148" s="37"/>
      <x:c r="C148" s="37"/>
      <x:c r="D148" s="37"/>
      <x:c r="E148" s="37"/>
      <x:c r="F148" s="37"/>
      <x:c r="G148" s="37"/>
      <x:c r="H148" s="37"/>
      <x:c r="I148" s="37"/>
      <x:c r="J148" s="37"/>
      <x:c r="K148" s="37"/>
      <x:c r="L148" s="43"/>
      <x:c r="M148" s="37"/>
      <x:c r="N148" s="37"/>
      <x:c r="O148" s="37"/>
      <x:c r="P148" s="37"/>
      <x:c r="Q148" s="37"/>
      <x:c r="R148" s="37"/>
      <x:c r="S148" s="37"/>
      <x:c r="T148" s="45"/>
    </x:row>
    <x:row r="149">
      <x:c r="A149" s="36"/>
      <x:c r="B149" s="37"/>
      <x:c r="C149" s="37"/>
      <x:c r="D149" s="37"/>
      <x:c r="E149" s="37"/>
      <x:c r="F149" s="37"/>
      <x:c r="G149" s="37"/>
      <x:c r="H149" s="37"/>
      <x:c r="I149" s="37"/>
      <x:c r="J149" s="37"/>
      <x:c r="K149" s="37"/>
      <x:c r="L149" s="43"/>
      <x:c r="M149" s="37"/>
      <x:c r="N149" s="37"/>
      <x:c r="O149" s="37"/>
      <x:c r="P149" s="37"/>
      <x:c r="Q149" s="37"/>
      <x:c r="R149" s="37"/>
      <x:c r="S149" s="37"/>
      <x:c r="T149" s="45"/>
    </x:row>
    <x:row r="150">
      <x:c r="A150" s="36"/>
      <x:c r="B150" s="37"/>
      <x:c r="C150" s="37"/>
      <x:c r="D150" s="37"/>
      <x:c r="E150" s="37"/>
      <x:c r="F150" s="37"/>
      <x:c r="G150" s="37"/>
      <x:c r="H150" s="37"/>
      <x:c r="I150" s="37"/>
      <x:c r="J150" s="37"/>
      <x:c r="K150" s="37"/>
      <x:c r="L150" s="43"/>
      <x:c r="M150" s="37"/>
      <x:c r="N150" s="37"/>
      <x:c r="O150" s="37"/>
      <x:c r="P150" s="37"/>
      <x:c r="Q150" s="37"/>
      <x:c r="R150" s="37"/>
      <x:c r="S150" s="37"/>
      <x:c r="T150" s="45"/>
    </x:row>
    <x:row r="151">
      <x:c r="A151" s="36"/>
      <x:c r="B151" s="37"/>
      <x:c r="C151" s="37"/>
      <x:c r="D151" s="37"/>
      <x:c r="E151" s="37"/>
      <x:c r="F151" s="37"/>
      <x:c r="G151" s="37"/>
      <x:c r="H151" s="37"/>
      <x:c r="I151" s="37"/>
      <x:c r="J151" s="37"/>
      <x:c r="K151" s="37"/>
      <x:c r="L151" s="43"/>
      <x:c r="M151" s="37"/>
      <x:c r="N151" s="37"/>
      <x:c r="O151" s="37"/>
      <x:c r="P151" s="37"/>
      <x:c r="Q151" s="37"/>
      <x:c r="R151" s="37"/>
      <x:c r="S151" s="37"/>
      <x:c r="T151" s="45"/>
    </x:row>
    <x:row r="152">
      <x:c r="A152" s="36"/>
      <x:c r="B152" s="37"/>
      <x:c r="C152" s="37"/>
      <x:c r="D152" s="37"/>
      <x:c r="E152" s="37"/>
      <x:c r="F152" s="37"/>
      <x:c r="G152" s="37"/>
      <x:c r="H152" s="37"/>
      <x:c r="I152" s="37"/>
      <x:c r="J152" s="37"/>
      <x:c r="K152" s="37"/>
      <x:c r="L152" s="43"/>
      <x:c r="M152" s="37"/>
      <x:c r="N152" s="37"/>
      <x:c r="O152" s="37"/>
      <x:c r="P152" s="37"/>
      <x:c r="Q152" s="37"/>
      <x:c r="R152" s="37"/>
      <x:c r="S152" s="37"/>
      <x:c r="T152" s="45"/>
    </x:row>
    <x:row r="153">
      <x:c r="A153" s="36"/>
      <x:c r="B153" s="37"/>
      <x:c r="C153" s="37"/>
      <x:c r="D153" s="37"/>
      <x:c r="E153" s="37"/>
      <x:c r="F153" s="37"/>
      <x:c r="G153" s="37"/>
      <x:c r="H153" s="37"/>
      <x:c r="I153" s="37"/>
      <x:c r="J153" s="37"/>
      <x:c r="K153" s="37"/>
      <x:c r="L153" s="43"/>
      <x:c r="M153" s="37"/>
      <x:c r="N153" s="37"/>
      <x:c r="O153" s="37"/>
      <x:c r="P153" s="37"/>
      <x:c r="Q153" s="37"/>
      <x:c r="R153" s="37"/>
      <x:c r="S153" s="37"/>
      <x:c r="T153" s="45"/>
    </x:row>
    <x:row r="154">
      <x:c r="A154" s="36"/>
      <x:c r="B154" s="37"/>
      <x:c r="C154" s="37"/>
      <x:c r="D154" s="37"/>
      <x:c r="E154" s="37"/>
      <x:c r="F154" s="37"/>
      <x:c r="G154" s="37"/>
      <x:c r="H154" s="37"/>
      <x:c r="I154" s="37"/>
      <x:c r="J154" s="37"/>
      <x:c r="K154" s="37"/>
      <x:c r="L154" s="43"/>
      <x:c r="M154" s="37"/>
      <x:c r="N154" s="37"/>
      <x:c r="O154" s="37"/>
      <x:c r="P154" s="37"/>
      <x:c r="Q154" s="37"/>
      <x:c r="R154" s="37"/>
      <x:c r="S154" s="37"/>
      <x:c r="T154" s="45"/>
    </x:row>
    <x:row r="155">
      <x:c r="A155" s="36"/>
      <x:c r="B155" s="37"/>
      <x:c r="C155" s="37"/>
      <x:c r="D155" s="37"/>
      <x:c r="E155" s="37"/>
      <x:c r="F155" s="37"/>
      <x:c r="G155" s="37"/>
      <x:c r="H155" s="37"/>
      <x:c r="I155" s="37"/>
      <x:c r="J155" s="37"/>
      <x:c r="K155" s="37"/>
      <x:c r="L155" s="43"/>
      <x:c r="M155" s="37"/>
      <x:c r="N155" s="37"/>
      <x:c r="O155" s="37"/>
      <x:c r="P155" s="37"/>
      <x:c r="Q155" s="37"/>
      <x:c r="R155" s="37"/>
      <x:c r="S155" s="37"/>
      <x:c r="T155" s="45"/>
    </x:row>
    <x:row r="156">
      <x:c r="A156" s="36"/>
      <x:c r="B156" s="37"/>
      <x:c r="C156" s="37"/>
      <x:c r="D156" s="37"/>
      <x:c r="E156" s="37"/>
      <x:c r="F156" s="37"/>
      <x:c r="G156" s="37"/>
      <x:c r="H156" s="37"/>
      <x:c r="I156" s="37"/>
      <x:c r="J156" s="37"/>
      <x:c r="K156" s="37"/>
      <x:c r="L156" s="43"/>
      <x:c r="M156" s="37"/>
      <x:c r="N156" s="37"/>
      <x:c r="O156" s="37"/>
      <x:c r="P156" s="37"/>
      <x:c r="Q156" s="37"/>
      <x:c r="R156" s="37"/>
      <x:c r="S156" s="37"/>
      <x:c r="T156" s="45"/>
    </x:row>
    <x:row r="157">
      <x:c r="A157" s="36"/>
      <x:c r="B157" s="37"/>
      <x:c r="C157" s="37"/>
      <x:c r="D157" s="37"/>
      <x:c r="E157" s="37"/>
      <x:c r="F157" s="37"/>
      <x:c r="G157" s="37"/>
      <x:c r="H157" s="37"/>
      <x:c r="I157" s="37"/>
      <x:c r="J157" s="37"/>
      <x:c r="K157" s="37"/>
      <x:c r="L157" s="43"/>
      <x:c r="M157" s="37"/>
      <x:c r="N157" s="37"/>
      <x:c r="O157" s="37"/>
      <x:c r="P157" s="37"/>
      <x:c r="Q157" s="37"/>
      <x:c r="R157" s="37"/>
      <x:c r="S157" s="37"/>
      <x:c r="T157" s="45"/>
    </x:row>
    <x:row r="158">
      <x:c r="A158" s="36"/>
      <x:c r="B158" s="37"/>
      <x:c r="C158" s="37"/>
      <x:c r="D158" s="37"/>
      <x:c r="E158" s="37"/>
      <x:c r="F158" s="37"/>
      <x:c r="G158" s="37"/>
      <x:c r="H158" s="37"/>
      <x:c r="I158" s="37"/>
      <x:c r="J158" s="37"/>
      <x:c r="K158" s="37"/>
      <x:c r="L158" s="43"/>
      <x:c r="M158" s="37"/>
      <x:c r="N158" s="37"/>
      <x:c r="O158" s="37"/>
      <x:c r="P158" s="37"/>
      <x:c r="Q158" s="37"/>
      <x:c r="R158" s="37"/>
      <x:c r="S158" s="37"/>
      <x:c r="T158" s="45"/>
    </x:row>
    <x:row r="159">
      <x:c r="A159" s="36"/>
      <x:c r="B159" s="37"/>
      <x:c r="C159" s="37"/>
      <x:c r="D159" s="37"/>
      <x:c r="E159" s="37"/>
      <x:c r="F159" s="37"/>
      <x:c r="G159" s="37"/>
      <x:c r="H159" s="37"/>
      <x:c r="I159" s="37"/>
      <x:c r="J159" s="37"/>
      <x:c r="K159" s="37"/>
      <x:c r="L159" s="43"/>
      <x:c r="M159" s="37"/>
      <x:c r="N159" s="37"/>
      <x:c r="O159" s="37"/>
      <x:c r="P159" s="37"/>
      <x:c r="Q159" s="37"/>
      <x:c r="R159" s="37"/>
      <x:c r="S159" s="37"/>
      <x:c r="T159" s="45"/>
    </x:row>
    <x:row r="160">
      <x:c r="A160" s="36"/>
      <x:c r="B160" s="37"/>
      <x:c r="C160" s="37"/>
      <x:c r="D160" s="37"/>
      <x:c r="E160" s="37"/>
      <x:c r="F160" s="37"/>
      <x:c r="G160" s="37"/>
      <x:c r="H160" s="37"/>
      <x:c r="I160" s="37"/>
      <x:c r="J160" s="37"/>
      <x:c r="K160" s="37"/>
      <x:c r="L160" s="43"/>
      <x:c r="M160" s="37"/>
      <x:c r="N160" s="37"/>
      <x:c r="O160" s="37"/>
      <x:c r="P160" s="37"/>
      <x:c r="Q160" s="37"/>
      <x:c r="R160" s="37"/>
      <x:c r="S160" s="37"/>
      <x:c r="T160" s="45"/>
    </x:row>
    <x:row r="161">
      <x:c r="A161" s="36"/>
      <x:c r="B161" s="37"/>
      <x:c r="C161" s="37"/>
      <x:c r="D161" s="37"/>
      <x:c r="E161" s="37"/>
      <x:c r="F161" s="37"/>
      <x:c r="G161" s="37"/>
      <x:c r="H161" s="37"/>
      <x:c r="I161" s="37"/>
      <x:c r="J161" s="37"/>
      <x:c r="K161" s="37"/>
      <x:c r="L161" s="43"/>
      <x:c r="M161" s="37"/>
      <x:c r="N161" s="37"/>
      <x:c r="O161" s="37"/>
      <x:c r="P161" s="37"/>
      <x:c r="Q161" s="37"/>
      <x:c r="R161" s="37"/>
      <x:c r="S161" s="37"/>
      <x:c r="T161" s="45"/>
    </x:row>
    <x:row r="162">
      <x:c r="A162" s="36"/>
      <x:c r="B162" s="37"/>
      <x:c r="C162" s="37"/>
      <x:c r="D162" s="37"/>
      <x:c r="E162" s="37"/>
      <x:c r="F162" s="37"/>
      <x:c r="G162" s="37"/>
      <x:c r="H162" s="37"/>
      <x:c r="I162" s="37"/>
      <x:c r="J162" s="37"/>
      <x:c r="K162" s="37"/>
      <x:c r="L162" s="43"/>
      <x:c r="M162" s="37"/>
      <x:c r="N162" s="37"/>
      <x:c r="O162" s="37"/>
      <x:c r="P162" s="37"/>
      <x:c r="Q162" s="37"/>
      <x:c r="R162" s="37"/>
      <x:c r="S162" s="37"/>
      <x:c r="T162" s="45"/>
    </x:row>
    <x:row r="163">
      <x:c r="A163" s="36"/>
      <x:c r="B163" s="37"/>
      <x:c r="C163" s="37"/>
      <x:c r="D163" s="37"/>
      <x:c r="E163" s="37"/>
      <x:c r="F163" s="37"/>
      <x:c r="G163" s="37"/>
      <x:c r="H163" s="37"/>
      <x:c r="I163" s="37"/>
      <x:c r="J163" s="37"/>
      <x:c r="K163" s="37"/>
      <x:c r="L163" s="43"/>
      <x:c r="M163" s="37"/>
      <x:c r="N163" s="37"/>
      <x:c r="O163" s="37"/>
      <x:c r="P163" s="37"/>
      <x:c r="Q163" s="37"/>
      <x:c r="R163" s="37"/>
      <x:c r="S163" s="37"/>
      <x:c r="T163" s="45"/>
    </x:row>
    <x:row r="164">
      <x:c r="A164" s="36"/>
      <x:c r="B164" s="37"/>
      <x:c r="C164" s="37"/>
      <x:c r="D164" s="37"/>
      <x:c r="E164" s="37"/>
      <x:c r="F164" s="37"/>
      <x:c r="G164" s="37"/>
      <x:c r="H164" s="37"/>
      <x:c r="I164" s="37"/>
      <x:c r="J164" s="37"/>
      <x:c r="K164" s="37"/>
      <x:c r="L164" s="43"/>
      <x:c r="M164" s="37"/>
      <x:c r="N164" s="37"/>
      <x:c r="O164" s="37"/>
      <x:c r="P164" s="37"/>
      <x:c r="Q164" s="37"/>
      <x:c r="R164" s="37"/>
      <x:c r="S164" s="37"/>
      <x:c r="T164" s="45"/>
    </x:row>
    <x:row r="165">
      <x:c r="A165" s="36"/>
      <x:c r="B165" s="37"/>
      <x:c r="C165" s="37"/>
      <x:c r="D165" s="37"/>
      <x:c r="E165" s="37"/>
      <x:c r="F165" s="37"/>
      <x:c r="G165" s="37"/>
      <x:c r="H165" s="37"/>
      <x:c r="I165" s="37"/>
      <x:c r="J165" s="37"/>
      <x:c r="K165" s="37"/>
      <x:c r="L165" s="43"/>
      <x:c r="M165" s="37"/>
      <x:c r="N165" s="37"/>
      <x:c r="O165" s="37"/>
      <x:c r="P165" s="37"/>
      <x:c r="Q165" s="37"/>
      <x:c r="R165" s="37"/>
      <x:c r="S165" s="37"/>
      <x:c r="T165" s="45"/>
    </x:row>
    <x:row r="166">
      <x:c r="A166" s="36"/>
      <x:c r="B166" s="37"/>
      <x:c r="C166" s="37"/>
      <x:c r="D166" s="37"/>
      <x:c r="E166" s="37"/>
      <x:c r="F166" s="37"/>
      <x:c r="G166" s="37"/>
      <x:c r="H166" s="37"/>
      <x:c r="I166" s="37"/>
      <x:c r="J166" s="37"/>
      <x:c r="K166" s="37"/>
      <x:c r="L166" s="43"/>
      <x:c r="M166" s="37"/>
      <x:c r="N166" s="37"/>
      <x:c r="O166" s="37"/>
      <x:c r="P166" s="37"/>
      <x:c r="Q166" s="37"/>
      <x:c r="R166" s="37"/>
      <x:c r="S166" s="37"/>
      <x:c r="T166" s="45"/>
    </x:row>
    <x:row r="167">
      <x:c r="A167" s="36"/>
      <x:c r="B167" s="37"/>
      <x:c r="C167" s="37"/>
      <x:c r="D167" s="37"/>
      <x:c r="E167" s="37"/>
      <x:c r="F167" s="37"/>
      <x:c r="G167" s="37"/>
      <x:c r="H167" s="37"/>
      <x:c r="I167" s="37"/>
      <x:c r="J167" s="37"/>
      <x:c r="K167" s="37"/>
      <x:c r="L167" s="43"/>
      <x:c r="M167" s="37"/>
      <x:c r="N167" s="37"/>
      <x:c r="O167" s="37"/>
      <x:c r="P167" s="37"/>
      <x:c r="Q167" s="37"/>
      <x:c r="R167" s="37"/>
      <x:c r="S167" s="37"/>
      <x:c r="T167" s="45"/>
    </x:row>
    <x:row r="168">
      <x:c r="A168" s="36"/>
      <x:c r="B168" s="37"/>
      <x:c r="C168" s="37"/>
      <x:c r="D168" s="37"/>
      <x:c r="E168" s="37"/>
      <x:c r="F168" s="37"/>
      <x:c r="G168" s="37"/>
      <x:c r="H168" s="37"/>
      <x:c r="I168" s="37"/>
      <x:c r="J168" s="37"/>
      <x:c r="K168" s="37"/>
      <x:c r="L168" s="43"/>
      <x:c r="M168" s="37"/>
      <x:c r="N168" s="37"/>
      <x:c r="O168" s="37"/>
      <x:c r="P168" s="37"/>
      <x:c r="Q168" s="37"/>
      <x:c r="R168" s="37"/>
      <x:c r="S168" s="37"/>
      <x:c r="T168" s="45"/>
    </x:row>
    <x:row r="169">
      <x:c r="A169" s="36"/>
      <x:c r="B169" s="37"/>
      <x:c r="C169" s="37"/>
      <x:c r="D169" s="37"/>
      <x:c r="E169" s="37"/>
      <x:c r="F169" s="37"/>
      <x:c r="G169" s="37"/>
      <x:c r="H169" s="37"/>
      <x:c r="I169" s="37"/>
      <x:c r="J169" s="37"/>
      <x:c r="K169" s="37"/>
      <x:c r="L169" s="43"/>
      <x:c r="M169" s="37"/>
      <x:c r="N169" s="37"/>
      <x:c r="O169" s="37"/>
      <x:c r="P169" s="37"/>
      <x:c r="Q169" s="37"/>
      <x:c r="R169" s="37"/>
      <x:c r="S169" s="37"/>
      <x:c r="T169" s="45"/>
    </x:row>
    <x:row r="170">
      <x:c r="A170" s="36"/>
      <x:c r="B170" s="37"/>
      <x:c r="C170" s="37"/>
      <x:c r="D170" s="37"/>
      <x:c r="E170" s="37"/>
      <x:c r="F170" s="37"/>
      <x:c r="G170" s="37"/>
      <x:c r="H170" s="37"/>
      <x:c r="I170" s="37"/>
      <x:c r="J170" s="37"/>
      <x:c r="K170" s="37"/>
      <x:c r="L170" s="43"/>
      <x:c r="M170" s="37"/>
      <x:c r="N170" s="37"/>
      <x:c r="O170" s="37"/>
      <x:c r="P170" s="37"/>
      <x:c r="Q170" s="37"/>
      <x:c r="R170" s="37"/>
      <x:c r="S170" s="37"/>
      <x:c r="T170" s="45"/>
    </x:row>
    <x:row r="171">
      <x:c r="A171" s="36"/>
      <x:c r="B171" s="37"/>
      <x:c r="C171" s="37"/>
      <x:c r="D171" s="37"/>
      <x:c r="E171" s="37"/>
      <x:c r="F171" s="37"/>
      <x:c r="G171" s="37"/>
      <x:c r="H171" s="37"/>
      <x:c r="I171" s="37"/>
      <x:c r="J171" s="37"/>
      <x:c r="K171" s="37"/>
      <x:c r="L171" s="43"/>
      <x:c r="M171" s="37"/>
      <x:c r="N171" s="37"/>
      <x:c r="O171" s="37"/>
      <x:c r="P171" s="37"/>
      <x:c r="Q171" s="37"/>
      <x:c r="R171" s="37"/>
      <x:c r="S171" s="37"/>
      <x:c r="T171" s="45"/>
    </x:row>
    <x:row r="172">
      <x:c r="A172" s="36"/>
      <x:c r="B172" s="37"/>
      <x:c r="C172" s="37"/>
      <x:c r="D172" s="37"/>
      <x:c r="E172" s="37"/>
      <x:c r="F172" s="37"/>
      <x:c r="G172" s="37"/>
      <x:c r="H172" s="37"/>
      <x:c r="I172" s="37"/>
      <x:c r="J172" s="37"/>
      <x:c r="K172" s="37"/>
      <x:c r="L172" s="43"/>
      <x:c r="M172" s="37"/>
      <x:c r="N172" s="37"/>
      <x:c r="O172" s="37"/>
      <x:c r="P172" s="37"/>
      <x:c r="Q172" s="37"/>
      <x:c r="R172" s="37"/>
      <x:c r="S172" s="37"/>
      <x:c r="T172" s="45"/>
    </x:row>
    <x:row r="173">
      <x:c r="A173" s="36"/>
      <x:c r="B173" s="37"/>
      <x:c r="C173" s="37"/>
      <x:c r="D173" s="37"/>
      <x:c r="E173" s="37"/>
      <x:c r="F173" s="37"/>
      <x:c r="G173" s="37"/>
      <x:c r="H173" s="37"/>
      <x:c r="I173" s="37"/>
      <x:c r="J173" s="37"/>
      <x:c r="K173" s="37"/>
      <x:c r="L173" s="43"/>
      <x:c r="M173" s="37"/>
      <x:c r="N173" s="37"/>
      <x:c r="O173" s="37"/>
      <x:c r="P173" s="37"/>
      <x:c r="Q173" s="37"/>
      <x:c r="R173" s="37"/>
      <x:c r="S173" s="37"/>
      <x:c r="T173" s="45"/>
    </x:row>
    <x:row r="174">
      <x:c r="A174" s="36"/>
      <x:c r="B174" s="37"/>
      <x:c r="C174" s="37"/>
      <x:c r="D174" s="37"/>
      <x:c r="E174" s="37"/>
      <x:c r="F174" s="37"/>
      <x:c r="G174" s="37"/>
      <x:c r="H174" s="37"/>
      <x:c r="I174" s="37"/>
      <x:c r="J174" s="37"/>
      <x:c r="K174" s="37"/>
      <x:c r="L174" s="43"/>
      <x:c r="M174" s="37"/>
      <x:c r="N174" s="37"/>
      <x:c r="O174" s="37"/>
      <x:c r="P174" s="37"/>
      <x:c r="Q174" s="37"/>
      <x:c r="R174" s="37"/>
      <x:c r="S174" s="37"/>
      <x:c r="T174" s="45"/>
    </x:row>
    <x:row r="175">
      <x:c r="A175" s="36"/>
      <x:c r="B175" s="37"/>
      <x:c r="C175" s="37"/>
      <x:c r="D175" s="37"/>
      <x:c r="E175" s="37"/>
      <x:c r="F175" s="37"/>
      <x:c r="G175" s="37"/>
      <x:c r="H175" s="37"/>
      <x:c r="I175" s="37"/>
      <x:c r="J175" s="37"/>
      <x:c r="K175" s="37"/>
      <x:c r="L175" s="43"/>
      <x:c r="M175" s="37"/>
      <x:c r="N175" s="37"/>
      <x:c r="O175" s="37"/>
      <x:c r="P175" s="37"/>
      <x:c r="Q175" s="37"/>
      <x:c r="R175" s="37"/>
      <x:c r="S175" s="37"/>
      <x:c r="T175" s="45"/>
    </x:row>
    <x:row r="176">
      <x:c r="A176" s="36"/>
      <x:c r="B176" s="37"/>
      <x:c r="C176" s="37"/>
      <x:c r="D176" s="37"/>
      <x:c r="E176" s="37"/>
      <x:c r="F176" s="37"/>
      <x:c r="G176" s="37"/>
      <x:c r="H176" s="37"/>
      <x:c r="I176" s="37"/>
      <x:c r="J176" s="37"/>
      <x:c r="K176" s="37"/>
      <x:c r="L176" s="43"/>
      <x:c r="M176" s="37"/>
      <x:c r="N176" s="37"/>
      <x:c r="O176" s="37"/>
      <x:c r="P176" s="37"/>
      <x:c r="Q176" s="37"/>
      <x:c r="R176" s="37"/>
      <x:c r="S176" s="37"/>
      <x:c r="T176" s="45"/>
    </x:row>
    <x:row r="177">
      <x:c r="A177" s="36"/>
      <x:c r="B177" s="37"/>
      <x:c r="C177" s="37"/>
      <x:c r="D177" s="37"/>
      <x:c r="E177" s="37"/>
      <x:c r="F177" s="37"/>
      <x:c r="G177" s="37"/>
      <x:c r="H177" s="37"/>
      <x:c r="I177" s="37"/>
      <x:c r="J177" s="37"/>
      <x:c r="K177" s="37"/>
      <x:c r="L177" s="43"/>
      <x:c r="M177" s="37"/>
      <x:c r="N177" s="37"/>
      <x:c r="O177" s="37"/>
      <x:c r="P177" s="37"/>
      <x:c r="Q177" s="37"/>
      <x:c r="R177" s="37"/>
      <x:c r="S177" s="37"/>
      <x:c r="T177" s="45"/>
    </x:row>
    <x:row r="178">
      <x:c r="A178" s="36"/>
      <x:c r="B178" s="37"/>
      <x:c r="C178" s="37"/>
      <x:c r="D178" s="37"/>
      <x:c r="E178" s="37"/>
      <x:c r="F178" s="37"/>
      <x:c r="G178" s="37"/>
      <x:c r="H178" s="37"/>
      <x:c r="I178" s="37"/>
      <x:c r="J178" s="37"/>
      <x:c r="K178" s="37"/>
      <x:c r="L178" s="43"/>
      <x:c r="M178" s="37"/>
      <x:c r="N178" s="37"/>
      <x:c r="O178" s="37"/>
      <x:c r="P178" s="37"/>
      <x:c r="Q178" s="37"/>
      <x:c r="R178" s="37"/>
      <x:c r="S178" s="37"/>
      <x:c r="T178" s="45"/>
    </x:row>
    <x:row r="179">
      <x:c r="A179" s="36"/>
      <x:c r="B179" s="37"/>
      <x:c r="C179" s="37"/>
      <x:c r="D179" s="37"/>
      <x:c r="E179" s="37"/>
      <x:c r="F179" s="37"/>
      <x:c r="G179" s="37"/>
      <x:c r="H179" s="37"/>
      <x:c r="I179" s="37"/>
      <x:c r="J179" s="37"/>
      <x:c r="K179" s="37"/>
      <x:c r="L179" s="43"/>
      <x:c r="M179" s="37"/>
      <x:c r="N179" s="37"/>
      <x:c r="O179" s="37"/>
      <x:c r="P179" s="37"/>
      <x:c r="Q179" s="37"/>
      <x:c r="R179" s="37"/>
      <x:c r="S179" s="37"/>
      <x:c r="T179" s="45"/>
    </x:row>
    <x:row r="180">
      <x:c r="A180" s="36"/>
      <x:c r="B180" s="37"/>
      <x:c r="C180" s="37"/>
      <x:c r="D180" s="37"/>
      <x:c r="E180" s="37"/>
      <x:c r="F180" s="37"/>
      <x:c r="G180" s="37"/>
      <x:c r="H180" s="37"/>
      <x:c r="I180" s="37"/>
      <x:c r="J180" s="37"/>
      <x:c r="K180" s="37"/>
      <x:c r="L180" s="43"/>
      <x:c r="M180" s="37"/>
      <x:c r="N180" s="37"/>
      <x:c r="O180" s="37"/>
      <x:c r="P180" s="37"/>
      <x:c r="Q180" s="37"/>
      <x:c r="R180" s="37"/>
      <x:c r="S180" s="37"/>
      <x:c r="T180" s="45"/>
    </x:row>
    <x:row r="181">
      <x:c r="A181" s="36"/>
      <x:c r="B181" s="37"/>
      <x:c r="C181" s="37"/>
      <x:c r="D181" s="37"/>
      <x:c r="E181" s="37"/>
      <x:c r="F181" s="37"/>
      <x:c r="G181" s="37"/>
      <x:c r="H181" s="37"/>
      <x:c r="I181" s="37"/>
      <x:c r="J181" s="37"/>
      <x:c r="K181" s="37"/>
      <x:c r="L181" s="43"/>
      <x:c r="M181" s="37"/>
      <x:c r="N181" s="37"/>
      <x:c r="O181" s="37"/>
      <x:c r="P181" s="37"/>
      <x:c r="Q181" s="37"/>
      <x:c r="R181" s="37"/>
      <x:c r="S181" s="37"/>
      <x:c r="T181" s="45"/>
    </x:row>
    <x:row r="182">
      <x:c r="A182" s="36"/>
      <x:c r="B182" s="37"/>
      <x:c r="C182" s="37"/>
      <x:c r="D182" s="37"/>
      <x:c r="E182" s="37"/>
      <x:c r="F182" s="37"/>
      <x:c r="G182" s="37"/>
      <x:c r="H182" s="37"/>
      <x:c r="I182" s="37"/>
      <x:c r="J182" s="37"/>
      <x:c r="K182" s="37"/>
      <x:c r="L182" s="43"/>
      <x:c r="M182" s="37"/>
      <x:c r="N182" s="37"/>
      <x:c r="O182" s="37"/>
      <x:c r="P182" s="37"/>
      <x:c r="Q182" s="37"/>
      <x:c r="R182" s="37"/>
      <x:c r="S182" s="37"/>
      <x:c r="T182" s="45"/>
    </x:row>
    <x:row r="183">
      <x:c r="A183" s="36"/>
      <x:c r="B183" s="37"/>
      <x:c r="C183" s="37"/>
      <x:c r="D183" s="37"/>
      <x:c r="E183" s="37"/>
      <x:c r="F183" s="37"/>
      <x:c r="G183" s="37"/>
      <x:c r="H183" s="37"/>
      <x:c r="I183" s="37"/>
      <x:c r="J183" s="37"/>
      <x:c r="K183" s="37"/>
      <x:c r="L183" s="43"/>
      <x:c r="M183" s="37"/>
      <x:c r="N183" s="37"/>
      <x:c r="O183" s="37"/>
      <x:c r="P183" s="37"/>
      <x:c r="Q183" s="37"/>
      <x:c r="R183" s="37"/>
      <x:c r="S183" s="37"/>
      <x:c r="T183" s="45"/>
    </x:row>
    <x:row r="184">
      <x:c r="A184" s="36"/>
      <x:c r="B184" s="37"/>
      <x:c r="C184" s="37"/>
      <x:c r="D184" s="37"/>
      <x:c r="E184" s="37"/>
      <x:c r="F184" s="37"/>
      <x:c r="G184" s="37"/>
      <x:c r="H184" s="37"/>
      <x:c r="I184" s="37"/>
      <x:c r="J184" s="37"/>
      <x:c r="K184" s="37"/>
      <x:c r="L184" s="43"/>
      <x:c r="M184" s="37"/>
      <x:c r="N184" s="37"/>
      <x:c r="O184" s="37"/>
      <x:c r="P184" s="37"/>
      <x:c r="Q184" s="37"/>
      <x:c r="R184" s="37"/>
      <x:c r="S184" s="37"/>
      <x:c r="T184" s="45"/>
    </x:row>
    <x:row r="185">
      <x:c r="A185" s="36"/>
      <x:c r="B185" s="37"/>
      <x:c r="C185" s="37"/>
      <x:c r="D185" s="37"/>
      <x:c r="E185" s="37"/>
      <x:c r="F185" s="37"/>
      <x:c r="G185" s="37"/>
      <x:c r="H185" s="37"/>
      <x:c r="I185" s="37"/>
      <x:c r="J185" s="37"/>
      <x:c r="K185" s="37"/>
      <x:c r="L185" s="43"/>
      <x:c r="M185" s="37"/>
      <x:c r="N185" s="37"/>
      <x:c r="O185" s="37"/>
      <x:c r="P185" s="37"/>
      <x:c r="Q185" s="37"/>
      <x:c r="R185" s="37"/>
      <x:c r="S185" s="37"/>
      <x:c r="T185" s="45"/>
    </x:row>
    <x:row r="186">
      <x:c r="A186" s="36"/>
      <x:c r="B186" s="37"/>
      <x:c r="C186" s="37"/>
      <x:c r="D186" s="37"/>
      <x:c r="E186" s="37"/>
      <x:c r="F186" s="37"/>
      <x:c r="G186" s="37"/>
      <x:c r="H186" s="37"/>
      <x:c r="I186" s="37"/>
      <x:c r="J186" s="37"/>
      <x:c r="K186" s="37"/>
      <x:c r="L186" s="43"/>
      <x:c r="M186" s="37"/>
      <x:c r="N186" s="37"/>
      <x:c r="O186" s="37"/>
      <x:c r="P186" s="37"/>
      <x:c r="Q186" s="37"/>
      <x:c r="R186" s="37"/>
      <x:c r="S186" s="37"/>
      <x:c r="T186" s="45"/>
    </x:row>
    <x:row r="187">
      <x:c r="A187" s="36"/>
      <x:c r="B187" s="37"/>
      <x:c r="C187" s="37"/>
      <x:c r="D187" s="37"/>
      <x:c r="E187" s="37"/>
      <x:c r="F187" s="37"/>
      <x:c r="G187" s="37"/>
      <x:c r="H187" s="37"/>
      <x:c r="I187" s="37"/>
      <x:c r="J187" s="37"/>
      <x:c r="K187" s="37"/>
      <x:c r="L187" s="43"/>
      <x:c r="M187" s="37"/>
      <x:c r="N187" s="37"/>
      <x:c r="O187" s="37"/>
      <x:c r="P187" s="37"/>
      <x:c r="Q187" s="37"/>
      <x:c r="R187" s="37"/>
      <x:c r="S187" s="37"/>
      <x:c r="T187" s="45"/>
    </x:row>
    <x:row r="188">
      <x:c r="A188" s="36"/>
      <x:c r="B188" s="37"/>
      <x:c r="C188" s="37"/>
      <x:c r="D188" s="37"/>
      <x:c r="E188" s="37"/>
      <x:c r="F188" s="37"/>
      <x:c r="G188" s="37"/>
      <x:c r="H188" s="37"/>
      <x:c r="I188" s="37"/>
      <x:c r="J188" s="37"/>
      <x:c r="K188" s="37"/>
      <x:c r="L188" s="43"/>
      <x:c r="M188" s="37"/>
      <x:c r="N188" s="37"/>
      <x:c r="O188" s="37"/>
      <x:c r="P188" s="37"/>
      <x:c r="Q188" s="37"/>
      <x:c r="R188" s="37"/>
      <x:c r="S188" s="37"/>
      <x:c r="T188" s="45"/>
    </x:row>
    <x:row r="189">
      <x:c r="A189" s="36"/>
      <x:c r="B189" s="37"/>
      <x:c r="C189" s="37"/>
      <x:c r="D189" s="37"/>
      <x:c r="E189" s="37"/>
      <x:c r="F189" s="37"/>
      <x:c r="G189" s="37"/>
      <x:c r="H189" s="37"/>
      <x:c r="I189" s="37"/>
      <x:c r="J189" s="37"/>
      <x:c r="K189" s="37"/>
      <x:c r="L189" s="43"/>
      <x:c r="M189" s="37"/>
      <x:c r="N189" s="37"/>
      <x:c r="O189" s="37"/>
      <x:c r="P189" s="37"/>
      <x:c r="Q189" s="37"/>
      <x:c r="R189" s="37"/>
      <x:c r="S189" s="37"/>
      <x:c r="T189" s="45"/>
    </x:row>
    <x:row r="190">
      <x:c r="A190" s="36"/>
      <x:c r="B190" s="37"/>
      <x:c r="C190" s="37"/>
      <x:c r="D190" s="37"/>
      <x:c r="E190" s="37"/>
      <x:c r="F190" s="37"/>
      <x:c r="G190" s="37"/>
      <x:c r="H190" s="37"/>
      <x:c r="I190" s="37"/>
      <x:c r="J190" s="37"/>
      <x:c r="K190" s="37"/>
      <x:c r="L190" s="43"/>
      <x:c r="M190" s="37"/>
      <x:c r="N190" s="37"/>
      <x:c r="O190" s="37"/>
      <x:c r="P190" s="37"/>
      <x:c r="Q190" s="37"/>
      <x:c r="R190" s="37"/>
      <x:c r="S190" s="37"/>
      <x:c r="T190" s="45"/>
    </x:row>
    <x:row r="191">
      <x:c r="A191" s="36"/>
      <x:c r="B191" s="37"/>
      <x:c r="C191" s="37"/>
      <x:c r="D191" s="37"/>
      <x:c r="E191" s="37"/>
      <x:c r="F191" s="37"/>
      <x:c r="G191" s="37"/>
      <x:c r="H191" s="37"/>
      <x:c r="I191" s="37"/>
      <x:c r="J191" s="37"/>
      <x:c r="K191" s="37"/>
      <x:c r="L191" s="43"/>
      <x:c r="M191" s="37"/>
      <x:c r="N191" s="37"/>
      <x:c r="O191" s="37"/>
      <x:c r="P191" s="37"/>
      <x:c r="Q191" s="37"/>
      <x:c r="R191" s="37"/>
      <x:c r="S191" s="37"/>
      <x:c r="T191" s="45"/>
    </x:row>
    <x:row r="192">
      <x:c r="A192" s="36"/>
      <x:c r="B192" s="37"/>
      <x:c r="C192" s="37"/>
      <x:c r="D192" s="37"/>
      <x:c r="E192" s="37"/>
      <x:c r="F192" s="37"/>
      <x:c r="G192" s="37"/>
      <x:c r="H192" s="37"/>
      <x:c r="I192" s="37"/>
      <x:c r="J192" s="37"/>
      <x:c r="K192" s="37"/>
      <x:c r="L192" s="43"/>
      <x:c r="M192" s="37"/>
      <x:c r="N192" s="37"/>
      <x:c r="O192" s="37"/>
      <x:c r="P192" s="37"/>
      <x:c r="Q192" s="37"/>
      <x:c r="R192" s="37"/>
      <x:c r="S192" s="37"/>
      <x:c r="T192" s="45"/>
    </x:row>
    <x:row r="193">
      <x:c r="A193" s="36"/>
      <x:c r="B193" s="37"/>
      <x:c r="C193" s="37"/>
      <x:c r="D193" s="37"/>
      <x:c r="E193" s="37"/>
      <x:c r="F193" s="37"/>
      <x:c r="G193" s="37"/>
      <x:c r="H193" s="37"/>
      <x:c r="I193" s="37"/>
      <x:c r="J193" s="37"/>
      <x:c r="K193" s="37"/>
      <x:c r="L193" s="43"/>
      <x:c r="M193" s="37"/>
      <x:c r="N193" s="37"/>
      <x:c r="O193" s="37"/>
      <x:c r="P193" s="37"/>
      <x:c r="Q193" s="37"/>
      <x:c r="R193" s="37"/>
      <x:c r="S193" s="37"/>
      <x:c r="T193" s="45"/>
    </x:row>
    <x:row r="194">
      <x:c r="A194" s="36"/>
      <x:c r="B194" s="37"/>
      <x:c r="C194" s="37"/>
      <x:c r="D194" s="37"/>
      <x:c r="E194" s="37"/>
      <x:c r="F194" s="37"/>
      <x:c r="G194" s="37"/>
      <x:c r="H194" s="37"/>
      <x:c r="I194" s="37"/>
      <x:c r="J194" s="37"/>
      <x:c r="K194" s="37"/>
      <x:c r="L194" s="43"/>
      <x:c r="M194" s="37"/>
      <x:c r="N194" s="37"/>
      <x:c r="O194" s="37"/>
      <x:c r="P194" s="37"/>
      <x:c r="Q194" s="37"/>
      <x:c r="R194" s="37"/>
      <x:c r="S194" s="37"/>
      <x:c r="T194" s="45"/>
    </x:row>
    <x:row r="195">
      <x:c r="A195" s="36"/>
      <x:c r="B195" s="37"/>
      <x:c r="C195" s="37"/>
      <x:c r="D195" s="37"/>
      <x:c r="E195" s="37"/>
      <x:c r="F195" s="37"/>
      <x:c r="G195" s="37"/>
      <x:c r="H195" s="37"/>
      <x:c r="I195" s="37"/>
      <x:c r="J195" s="37"/>
      <x:c r="K195" s="37"/>
      <x:c r="L195" s="43"/>
      <x:c r="M195" s="37"/>
      <x:c r="N195" s="37"/>
      <x:c r="O195" s="37"/>
      <x:c r="P195" s="37"/>
      <x:c r="Q195" s="37"/>
      <x:c r="R195" s="37"/>
      <x:c r="S195" s="37"/>
      <x:c r="T195" s="45"/>
    </x:row>
    <x:row r="196">
      <x:c r="A196" s="36"/>
      <x:c r="B196" s="37"/>
      <x:c r="C196" s="37"/>
      <x:c r="D196" s="37"/>
      <x:c r="E196" s="37"/>
      <x:c r="F196" s="37"/>
      <x:c r="G196" s="37"/>
      <x:c r="H196" s="37"/>
      <x:c r="I196" s="37"/>
      <x:c r="J196" s="37"/>
      <x:c r="K196" s="37"/>
      <x:c r="L196" s="43"/>
      <x:c r="M196" s="37"/>
      <x:c r="N196" s="37"/>
      <x:c r="O196" s="37"/>
      <x:c r="P196" s="37"/>
      <x:c r="Q196" s="37"/>
      <x:c r="R196" s="37"/>
      <x:c r="S196" s="37"/>
      <x:c r="T196" s="45"/>
    </x:row>
    <x:row r="197">
      <x:c r="A197" s="36"/>
      <x:c r="B197" s="37"/>
      <x:c r="C197" s="37"/>
      <x:c r="D197" s="37"/>
      <x:c r="E197" s="37"/>
      <x:c r="F197" s="37"/>
      <x:c r="G197" s="37"/>
      <x:c r="H197" s="37"/>
      <x:c r="I197" s="37"/>
      <x:c r="J197" s="37"/>
      <x:c r="K197" s="37"/>
      <x:c r="L197" s="43"/>
      <x:c r="M197" s="37"/>
      <x:c r="N197" s="37"/>
      <x:c r="O197" s="37"/>
      <x:c r="P197" s="37"/>
      <x:c r="Q197" s="37"/>
      <x:c r="R197" s="37"/>
      <x:c r="S197" s="37"/>
      <x:c r="T197" s="45"/>
    </x:row>
    <x:row r="198">
      <x:c r="A198" s="36"/>
      <x:c r="B198" s="37"/>
      <x:c r="C198" s="37"/>
      <x:c r="D198" s="37"/>
      <x:c r="E198" s="37"/>
      <x:c r="F198" s="37"/>
      <x:c r="G198" s="37"/>
      <x:c r="H198" s="37"/>
      <x:c r="I198" s="37"/>
      <x:c r="J198" s="37"/>
      <x:c r="K198" s="37"/>
      <x:c r="L198" s="43"/>
      <x:c r="M198" s="37"/>
      <x:c r="N198" s="37"/>
      <x:c r="O198" s="37"/>
      <x:c r="P198" s="37"/>
      <x:c r="Q198" s="37"/>
      <x:c r="R198" s="37"/>
      <x:c r="S198" s="37"/>
      <x:c r="T198" s="45"/>
    </x:row>
    <x:row r="199">
      <x:c r="A199" s="36"/>
      <x:c r="B199" s="37"/>
      <x:c r="C199" s="37"/>
      <x:c r="D199" s="37"/>
      <x:c r="E199" s="37"/>
      <x:c r="F199" s="37"/>
      <x:c r="G199" s="37"/>
      <x:c r="H199" s="37"/>
      <x:c r="I199" s="37"/>
      <x:c r="J199" s="37"/>
      <x:c r="K199" s="37"/>
      <x:c r="L199" s="43"/>
      <x:c r="M199" s="37"/>
      <x:c r="N199" s="37"/>
      <x:c r="O199" s="37"/>
      <x:c r="P199" s="37"/>
      <x:c r="Q199" s="37"/>
      <x:c r="R199" s="37"/>
      <x:c r="S199" s="37"/>
      <x:c r="T199" s="45"/>
    </x:row>
    <x:row r="200">
      <x:c r="A200" s="36"/>
      <x:c r="B200" s="37"/>
      <x:c r="C200" s="37"/>
      <x:c r="D200" s="37"/>
      <x:c r="E200" s="37"/>
      <x:c r="F200" s="37"/>
      <x:c r="G200" s="37"/>
      <x:c r="H200" s="37"/>
      <x:c r="I200" s="37"/>
      <x:c r="J200" s="37"/>
      <x:c r="K200" s="37"/>
      <x:c r="L200" s="43"/>
      <x:c r="M200" s="37"/>
      <x:c r="N200" s="37"/>
      <x:c r="O200" s="37"/>
      <x:c r="P200" s="37"/>
      <x:c r="Q200" s="37"/>
      <x:c r="R200" s="37"/>
      <x:c r="S200" s="37"/>
      <x:c r="T200" s="45"/>
    </x:row>
    <x:row r="201">
      <x:c r="A201" s="36"/>
      <x:c r="B201" s="37"/>
      <x:c r="C201" s="37"/>
      <x:c r="D201" s="37"/>
      <x:c r="E201" s="37"/>
      <x:c r="F201" s="37"/>
      <x:c r="G201" s="37"/>
      <x:c r="H201" s="37"/>
      <x:c r="I201" s="37"/>
      <x:c r="J201" s="37"/>
      <x:c r="K201" s="37"/>
      <x:c r="L201" s="43"/>
      <x:c r="M201" s="37"/>
      <x:c r="N201" s="37"/>
      <x:c r="O201" s="37"/>
      <x:c r="P201" s="37"/>
      <x:c r="Q201" s="37"/>
      <x:c r="R201" s="37"/>
      <x:c r="S201" s="37"/>
      <x:c r="T201" s="45"/>
    </x:row>
    <x:row r="202">
      <x:c r="A202" s="36"/>
      <x:c r="B202" s="37"/>
      <x:c r="C202" s="37"/>
      <x:c r="D202" s="37"/>
      <x:c r="E202" s="37"/>
      <x:c r="F202" s="37"/>
      <x:c r="G202" s="37"/>
      <x:c r="H202" s="37"/>
      <x:c r="I202" s="37"/>
      <x:c r="J202" s="37"/>
      <x:c r="K202" s="37"/>
      <x:c r="L202" s="43"/>
      <x:c r="M202" s="37"/>
      <x:c r="N202" s="37"/>
      <x:c r="O202" s="37"/>
      <x:c r="P202" s="37"/>
      <x:c r="Q202" s="37"/>
      <x:c r="R202" s="37"/>
      <x:c r="S202" s="37"/>
      <x:c r="T202" s="45"/>
    </x:row>
    <x:row r="203">
      <x:c r="A203" s="39"/>
      <x:c r="B203" s="40"/>
      <x:c r="C203" s="40"/>
      <x:c r="D203" s="40"/>
      <x:c r="E203" s="40"/>
      <x:c r="F203" s="40"/>
      <x:c r="G203" s="40"/>
      <x:c r="H203" s="40"/>
      <x:c r="I203" s="40"/>
      <x:c r="J203" s="40"/>
      <x:c r="K203" s="40"/>
      <x:c r="L203" s="44"/>
      <x:c r="M203" s="40"/>
      <x:c r="N203" s="40"/>
      <x:c r="O203" s="40"/>
      <x:c r="P203" s="40"/>
      <x:c r="Q203" s="40"/>
      <x:c r="R203" s="40"/>
      <x:c r="S203" s="40"/>
      <x:c r="T203" s="46"/>
    </x:row>
  </x:sheetData>
  <x:mergeCells>
    <x:mergeCell ref="A2:T2"/>
  </x:mergeCells>
  <x:dataValidations count="5">
    <x:dataValidation type="list" sqref="I4:I203">
      <x:formula1>'Status Vocabulary'!$A$4:$A$7</x:formula1>
    </x:dataValidation>
    <x:dataValidation type="list" sqref="J4:J203">
      <x:formula1>'Status Vocabulary'!$B$4:$B$6</x:formula1>
    </x:dataValidation>
    <x:dataValidation type="list" sqref="K4:K203">
      <x:formula1>'Status Vocabulary'!$C$4:$C$11</x:formula1>
    </x:dataValidation>
    <x:dataValidation type="list" sqref="O4:O203">
      <x:formula1>"Yes,No,Already covered,Needs judgment"</x:formula1>
    </x:dataValidation>
    <x:dataValidation type="list" sqref="P4:P203">
      <x:formula1>'Status Vocabulary'!$H$4:$H$6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c88958e72a4fb2"/>
  </x:tableParts>
</x:worksheet>
</file>